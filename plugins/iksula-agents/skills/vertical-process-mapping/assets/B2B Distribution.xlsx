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Rubric" sheetId="1" state="visible" r:id="rId3"/>
    <sheet name="Coverage Map" sheetId="2" state="visible" r:id="rId4"/>
    <sheet name="Function Narratives" sheetId="3" state="visible" r:id="rId5"/>
    <sheet name="Task Matrix" sheetId="4" state="visible" r:id="rId6"/>
    <sheet name="Cross-Cutting Horizontals" sheetId="5" state="visible" r:id="rId7"/>
    <sheet name="Iksula Solution Shortlist" sheetId="6" state="visible" r:id="rId8"/>
  </sheets>
  <definedNames>
    <definedName function="false" hidden="true" localSheetId="5" name="_xlnm._FilterDatabase" vbProcedure="false">'Iksula Solution Shortlist'!$A$4:$L$16</definedName>
    <definedName function="false" hidden="true" localSheetId="3" name="_xlnm._FilterDatabase" vbProcedure="false">'Task Matrix'!$A$1:$W$118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<sst xmlns="http://schemas.openxmlformats.org/spreadsheetml/2006/main" count="2307" uniqueCount="1039">
  <si>
    <t xml:space="preserve">B2B Distribution — Function &amp; Automation-Opportunity Map (post-LLM)</t>
  </si>
  <si>
    <t xml:space="preserve">Iksula | Vertical Process-Mapping Series — Template &amp; reference file</t>
  </si>
  <si>
    <t xml:space="preserve">Vertical</t>
  </si>
  <si>
    <t xml:space="preserve">B2B Distribution (wholesalers / stockists / value-added distributors buying from principals and selling onward to retailers, resellers and businesses)</t>
  </si>
  <si>
    <t xml:space="preserve">Organization archetype</t>
  </si>
  <si>
    <t xml:space="preserve">Single distributor running its own P&amp;L (own balance sheet; every inefficiency is its own cost, every recovered rupee is its own margin)</t>
  </si>
  <si>
    <t xml:space="preserve">Prepared by</t>
  </si>
  <si>
    <t xml:space="preserve">Process-mapping consultant (ecommerce + adjacent enterprise functions)</t>
  </si>
  <si>
    <t xml:space="preserve">Date</t>
  </si>
  <si>
    <t xml:space="preserve">31 May 2026</t>
  </si>
  <si>
    <t xml:space="preserve">Eventual purpose</t>
  </si>
  <si>
    <t xml:space="preserve">Source-of-truth to design and build Iksula solutions; comparable across verticals via standard taxonomy + rubric</t>
  </si>
  <si>
    <t xml:space="preserve">Economic lens</t>
  </si>
  <si>
    <t xml:space="preserve">Thin-margin model: prize is LEAKAGE RECOVERY + WORKING-CAPITAL RELEASE, not headcount reduction</t>
  </si>
  <si>
    <t xml:space="preserve">How to read this workbook (tab guide)</t>
  </si>
  <si>
    <t xml:space="preserve">Coverage Map</t>
  </si>
  <si>
    <t xml:space="preserve">Every function in scope + completion status. The mandatory self-audit, made visible.</t>
  </si>
  <si>
    <t xml:space="preserve">Function Narratives</t>
  </si>
  <si>
    <t xml:space="preserve">Prose deep-dive per function: process spine, tools, obvious vs non-obvious plays.</t>
  </si>
  <si>
    <t xml:space="preserve">Task Matrix</t>
  </si>
  <si>
    <t xml:space="preserve">The engine. One row per L3 task, scored 1-5 with composite priority. Sort/filter to build a roadmap.</t>
  </si>
  <si>
    <t xml:space="preserve">Cross-Cutting Horizontals</t>
  </si>
  <si>
    <t xml:space="preserve">Build-once / sell-many layers + the 'recovery &amp; leakage' theme that spans departments.</t>
  </si>
  <si>
    <t xml:space="preserve">Iksula Solution Shortlist</t>
  </si>
  <si>
    <t xml:space="preserve">Prioritised, sequenced opportunities with the productizable / reuse angle made explicit.</t>
  </si>
  <si>
    <t xml:space="preserve">Scoring rubric (all 1-5; higher = better / more feasible)</t>
  </si>
  <si>
    <t xml:space="preserve">Impact</t>
  </si>
  <si>
    <t xml:space="preserve">Value created if solved. 1 = marginal; 3 = meaningful efficiency; 5 = transformative margin / working-capital / risk impact.</t>
  </si>
  <si>
    <t xml:space="preserve">Data Readiness</t>
  </si>
  <si>
    <t xml:space="preserve">1 = data scattered, dirty or unavailable; 5 = clean, structured, accessible data already exists.</t>
  </si>
  <si>
    <t xml:space="preserve">Integration Ease</t>
  </si>
  <si>
    <t xml:space="preserve">1 = deep multi-system / core-ERP integration required; 5 = standalone or light-touch integration.</t>
  </si>
  <si>
    <t xml:space="preserve">Accuracy Tolerance</t>
  </si>
  <si>
    <t xml:space="preserve">How forgiving the task is of model error. 1 = zero tolerance (financial / statutory / compliance); 5 = high tolerance (drafts, suggestions, human-reviewed).</t>
  </si>
  <si>
    <t xml:space="preserve">Feasibility (calc)</t>
  </si>
  <si>
    <t xml:space="preserve">AVERAGE of Data Readiness, Integration Ease and Accuracy Tolerance. Auto-computed.</t>
  </si>
  <si>
    <t xml:space="preserve">Composite Priority (calc)</t>
  </si>
  <si>
    <t xml:space="preserve">Average of Impact and Feasibility (1-5 scale). Auto-computed. Sort descending to prioritise.</t>
  </si>
  <si>
    <t xml:space="preserve">Priority Tier (calc)</t>
  </si>
  <si>
    <t xml:space="preserve">P1 if Composite &gt;= 3.8; P2 if &gt;= 3.0; else P3.</t>
  </si>
  <si>
    <t xml:space="preserve">Quick Win (calc)</t>
  </si>
  <si>
    <t xml:space="preserve">Yes if Impact &gt;= 4 AND Feasibility &gt;= 3.5 (high value, low friction).</t>
  </si>
  <si>
    <t xml:space="preserve">Controlled vocabularies (keep identical across verticals for comparability)</t>
  </si>
  <si>
    <t xml:space="preserve">Solution Archetype</t>
  </si>
  <si>
    <t xml:space="preserve">Doc-Extraction Pipeline | Copilot / Agent-Assist | Autonomous Agent | NL-Analytics | RPA+LLM Hybrid | Semantic Search | Predictive Model</t>
  </si>
  <si>
    <t xml:space="preserve">Value Lever</t>
  </si>
  <si>
    <t xml:space="preserve">Leakage Recovery | Working Capital | Cost-to-Serve | Revenue Growth | Risk / Compliance</t>
  </si>
  <si>
    <t xml:space="preserve">Reusability</t>
  </si>
  <si>
    <t xml:space="preserve">High = reusable across most verticals as-is | Med = reusable with config | Low = vertical/client-specific</t>
  </si>
  <si>
    <t xml:space="preserve">Productizable</t>
  </si>
  <si>
    <t xml:space="preserve">Productizable = repeatable product/offering | Hybrid = product core + bespoke config | Bespoke = client-specific build</t>
  </si>
  <si>
    <t xml:space="preserve">Driver Metric</t>
  </si>
  <si>
    <t xml:space="preserve">What the value scales with (e.g., # principals x scheme volume) — used to size the prize per client.</t>
  </si>
  <si>
    <t xml:space="preserve">Group</t>
  </si>
  <si>
    <t xml:space="preserve">Function</t>
  </si>
  <si>
    <t xml:space="preserve">Status</t>
  </si>
  <si>
    <t xml:space="preserve"># L3 Tasks Mapped</t>
  </si>
  <si>
    <t xml:space="preserve">Notes</t>
  </si>
  <si>
    <t xml:space="preserve">Commercial / Revenue</t>
  </si>
  <si>
    <t xml:space="preserve">Field Sales</t>
  </si>
  <si>
    <t xml:space="preserve">Done</t>
  </si>
  <si>
    <t xml:space="preserve">Beat sales; order booking, market intel, door collections</t>
  </si>
  <si>
    <t xml:space="preserve">Inside Sales / Telesales</t>
  </si>
  <si>
    <t xml:space="preserve">Remote order-taking, reorder, upsell</t>
  </si>
  <si>
    <t xml:space="preserve">Key Account Management</t>
  </si>
  <si>
    <t xml:space="preserve">Large / EDI-integrated customers, JBPs, QBRs</t>
  </si>
  <si>
    <t xml:space="preserve">Sales Operations</t>
  </si>
  <si>
    <t xml:space="preserve">Targets, incentives, beat design, sales analytics</t>
  </si>
  <si>
    <t xml:space="preserve">Marketing / Trade Marketing</t>
  </si>
  <si>
    <t xml:space="preserve">Trade schemes comms, co-marketing (MDF), campaigns</t>
  </si>
  <si>
    <t xml:space="preserve">Category &amp; Assortment</t>
  </si>
  <si>
    <t xml:space="preserve">Range planning, principal management, NPD</t>
  </si>
  <si>
    <t xml:space="preserve">Pricing &amp; Margin Mgmt</t>
  </si>
  <si>
    <t xml:space="preserve">List / tier pricing, deal desk, margin monitoring</t>
  </si>
  <si>
    <t xml:space="preserve">B2B Ecommerce Channel</t>
  </si>
  <si>
    <t xml:space="preserve">Portal merchandising, search, adoption, digital ops</t>
  </si>
  <si>
    <t xml:space="preserve">Customer Service / Order Mgmt</t>
  </si>
  <si>
    <t xml:space="preserve">Status, complaints, returns, inquiries</t>
  </si>
  <si>
    <t xml:space="preserve">Supply Chain / Ops</t>
  </si>
  <si>
    <t xml:space="preserve">Procurement / Purchasing (P2P)</t>
  </si>
  <si>
    <t xml:space="preserve">Buying, PO, GRN, 3-way match</t>
  </si>
  <si>
    <t xml:space="preserve">Demand &amp; Inventory Planning</t>
  </si>
  <si>
    <t xml:space="preserve">Forecast, replenish, near-expiry / dead stock</t>
  </si>
  <si>
    <t xml:space="preserve">Warehouse / DC Operations</t>
  </si>
  <si>
    <t xml:space="preserve">Inbound, putaway, pick, pack, dispatch</t>
  </si>
  <si>
    <t xml:space="preserve">Logistics / Transportation</t>
  </si>
  <si>
    <t xml:space="preserve">Route, dispatch, POD, freight recon</t>
  </si>
  <si>
    <t xml:space="preserve">Returns / Reverse Logistics</t>
  </si>
  <si>
    <t xml:space="preserve">Eligibility, disposition, return-to-principal</t>
  </si>
  <si>
    <t xml:space="preserve">Quality &amp; Regulatory</t>
  </si>
  <si>
    <t xml:space="preserve">QC, licensing, recall, cold-chain, audit</t>
  </si>
  <si>
    <t xml:space="preserve">Finance</t>
  </si>
  <si>
    <t xml:space="preserve">Order-to-Cash (AR / Credit / Collections)</t>
  </si>
  <si>
    <t xml:space="preserve">Capture, invoice, credit, collections, cash app</t>
  </si>
  <si>
    <t xml:space="preserve">Reconciliation &amp; Claims</t>
  </si>
  <si>
    <t xml:space="preserve">Bank / vendor / customer recon, scheme claims</t>
  </si>
  <si>
    <t xml:space="preserve">Accounts Payable</t>
  </si>
  <si>
    <t xml:space="preserve">Invoice processing, controls, payment</t>
  </si>
  <si>
    <t xml:space="preserve">General Ledger &amp; Close</t>
  </si>
  <si>
    <t xml:space="preserve">JEs, accruals, close, audit</t>
  </si>
  <si>
    <t xml:space="preserve">Tax &amp; Statutory Compliance</t>
  </si>
  <si>
    <t xml:space="preserve">GST returns, e-invoice / e-way, ITC, notices</t>
  </si>
  <si>
    <t xml:space="preserve">FP&amp;A / Business Finance</t>
  </si>
  <si>
    <t xml:space="preserve">Profitability, MIS, scenario planning</t>
  </si>
  <si>
    <t xml:space="preserve">Treasury</t>
  </si>
  <si>
    <t xml:space="preserve">Cash forecasting, banking, financing</t>
  </si>
  <si>
    <t xml:space="preserve">Enabling / Support</t>
  </si>
  <si>
    <t xml:space="preserve">Master Data Management (+ Catalog/Content)</t>
  </si>
  <si>
    <t xml:space="preserve">Item / customer / price master, content, dedup</t>
  </si>
  <si>
    <t xml:space="preserve">IT / ERP / Integrations</t>
  </si>
  <si>
    <t xml:space="preserve">Support, EDI, integration ops, reporting</t>
  </si>
  <si>
    <t xml:space="preserve">Data / Analytics / BI</t>
  </si>
  <si>
    <t xml:space="preserve">Self-serve analytics, anomaly, reporting</t>
  </si>
  <si>
    <t xml:space="preserve">HR / People</t>
  </si>
  <si>
    <t xml:space="preserve">Recruitment, support, payroll, retention</t>
  </si>
  <si>
    <t xml:space="preserve">Legal / Contracts</t>
  </si>
  <si>
    <t xml:space="preserve">Principal agreements, obligations, drafting</t>
  </si>
  <si>
    <t xml:space="preserve">Admin / Facilities</t>
  </si>
  <si>
    <t xml:space="preserve">Vendor / AMC, document management</t>
  </si>
  <si>
    <t xml:space="preserve">TOTAL L3 TASKS MAPPED</t>
  </si>
  <si>
    <t xml:space="preserve">Process Spine (L1 -&gt; L2 -&gt; L3 hotspots)</t>
  </si>
  <si>
    <t xml:space="preserve">Typical Tools</t>
  </si>
  <si>
    <t xml:space="preserve">Obvious Automation</t>
  </si>
  <si>
    <t xml:space="preserve">Non-Obvious, High-Value Plays</t>
  </si>
  <si>
    <t xml:space="preserve">Beat/route planning -&gt; outlet visits -&gt; order booking -&gt; in-store merchandising -&gt; market intel -&gt; door collections. Hotspots: territory design, order keying, lost market feedback.</t>
  </si>
  <si>
    <t xml:space="preserve">SFA/DMS (Bizom, FieldAssist), mobile order app</t>
  </si>
  <si>
    <t xml:space="preserve">Auto attendance/geo-tracking; standard visit reports.</t>
  </si>
  <si>
    <t xml:space="preserve">Voice-to-order dictation structured by LLM; suggested-order per outlet (assortment-gap + cycle); mining free-text visit notes into structured competitor/stock-out/new-outlet intel; new-outlet onboarding from shop photo + GST; rep coaching summaries flagging declining outlets.</t>
  </si>
  <si>
    <t xml:space="preserve">Call list -&gt; reorder prompts -&gt; upsell -&gt; order entry. Hotspots: prep, prioritisation, on-call recall, logging.</t>
  </si>
  <si>
    <t xml:space="preserve">CRM, ERP, dialer</t>
  </si>
  <si>
    <t xml:space="preserve">Auto-dial lists; order entry assist.</t>
  </si>
  <si>
    <t xml:space="preserve">Per-account call-prep brief (buys / overdue / scheme / lapsed lines); reorder-due &amp; churn prediction to sequence the list; real-time on-call cross-sell + scheme prompts; auto call summary into CRM.</t>
  </si>
  <si>
    <t xml:space="preserve">Account/JBP planning -&gt; EDI order handling -&gt; fill-rate/SLA mgmt -&gt; QBRs. Hotspots: review prep, compliance tracking, tenders.</t>
  </si>
  <si>
    <t xml:space="preserve">ERP, EDI, Excel/PPT</t>
  </si>
  <si>
    <t xml:space="preserve">EDI order automation; standard dashboards.</t>
  </si>
  <si>
    <t xml:space="preserve">Auto-generated QBR decks from sales/service/fill-rate data; SLA-and-pricing compliance monitoring vs signed terms; RFQ/tender response drafting for institutional buyers.</t>
  </si>
  <si>
    <t xml:space="preserve">Targets -&gt; beat design -&gt; incentive computation -&gt; analytics -&gt; trade-spend. Hotspots: payout calc, dispute, ad-hoc analysis.</t>
  </si>
  <si>
    <t xml:space="preserve">ERP, Excel, BI</t>
  </si>
  <si>
    <t xml:space="preserve">Target dashboards; payout templates.</t>
  </si>
  <si>
    <t xml:space="preserve">Incentive/commission computation from complex multi-scheme rules + dispute resolution; natural-language analytics ('why did East drop 8%?'); auto sales-review commentary; beat-redesign recommendations.</t>
  </si>
  <si>
    <t xml:space="preserve">Trade-scheme comms -&gt; principal co-marketing -&gt; portal/WhatsApp campaigns -&gt; performance. Hotspots: collateral, MDF claims.</t>
  </si>
  <si>
    <t xml:space="preserve">Canva, CMS, BI</t>
  </si>
  <si>
    <t xml:space="preserve">Localised content generation; campaign reporting.</t>
  </si>
  <si>
    <t xml:space="preserve">MDF / co-marketing claim documentation (leakage-prone, same pattern as schemes); scale generation of retailer collateral; localised multilingual campaign content.</t>
  </si>
  <si>
    <t xml:space="preserve">Range planning -&gt; principal/brand mgmt -&gt; listing decisions -&gt; NPD. Hotspots: gap analysis, add/drop, scorecards.</t>
  </si>
  <si>
    <t xml:space="preserve">ERP, BI, Excel</t>
  </si>
  <si>
    <t xml:space="preserve">Principal performance scorecards; listing reports.</t>
  </si>
  <si>
    <t xml:space="preserve">Assortment-gap &amp; range-rationalisation analysis by outlet class; cannibalisation/substitute reasoning; NPD launch-plan drafting.</t>
  </si>
  <si>
    <t xml:space="preserve">List price -&gt; tier/customer pricing -&gt; deal desk -&gt; margin monitoring. Hotspots: leakage, price propagation, deal evaluation.</t>
  </si>
  <si>
    <t xml:space="preserve">ERP, Excel</t>
  </si>
  <si>
    <t xml:space="preserve">Price list uploads.</t>
  </si>
  <si>
    <t xml:space="preserve">Margin-leakage detection (below-floor sales; landed cost rose but price didn't); auto price-change propagation from principal price lists; deal-desk copilot scoring requests vs floors + precedent.</t>
  </si>
  <si>
    <t xml:space="preserve">Portal merchandising -&gt; search -&gt; promotions -&gt; adoption -&gt; digital order ops. Hotspots: search, personalisation, channel shift.</t>
  </si>
  <si>
    <t xml:space="preserve">B2B portal/CMS</t>
  </si>
  <si>
    <t xml:space="preserve">FAQ deflection; promo banners.</t>
  </si>
  <si>
    <t xml:space="preserve">Semantic search over large poorly-tagged catalog; per-buyer personalised assortment; channel-shift campaigns nudging offline buyers onto the portal; auto-merchandising of scheme/near-expiry/slow SKUs.</t>
  </si>
  <si>
    <t xml:space="preserve">Order status -&gt; complaints -&gt; returns -&gt; inquiries -&gt; routing. Hotspots: status volume, discrepancy calls, photo complaints, VOC.</t>
  </si>
  <si>
    <t xml:space="preserve">Helpdesk (Freshdesk, Zoho), WhatsApp, ERP</t>
  </si>
  <si>
    <t xml:space="preserve">Status chatbot; FAQ deflection.</t>
  </si>
  <si>
    <t xml:space="preserve">'Why is my order short?' auto-explainer (stockout/credit hold/MOQ); complaint intake from photos -&gt; auto CN/replacement; VOC mining for systemic batch/route issues; proactive delay/partial alerts; returns-eligibility check; agent-assist drafting.</t>
  </si>
  <si>
    <t xml:space="preserve">Demand signal -&gt; PO -&gt; principal coord -&gt; GRN -&gt; invoice match -&gt; pay. Hotspots: PO sizing, scheme timing, 3-way match.</t>
  </si>
  <si>
    <t xml:space="preserve">ERP</t>
  </si>
  <si>
    <t xml:space="preserve">Auto-PO from reorder points.</t>
  </si>
  <si>
    <t xml:space="preserve">Scheme-timed buying (buy more when a principal scheme is live -&gt; feeds claims); 3-way match across format mismatches; auto-drafted principal correspondence (shortages, expiry/return).</t>
  </si>
  <si>
    <t xml:space="preserve">Forecast -&gt; replenish -&gt; allocate -&gt; slow/dead/near-expiry. Hotspots: forecast accuracy, expiry, balancing.</t>
  </si>
  <si>
    <t xml:space="preserve">Planning tool, Excel, ERP</t>
  </si>
  <si>
    <t xml:space="preserve">Statistical forecasting; reorder alerts.</t>
  </si>
  <si>
    <t xml:space="preserve">Near-expiry liquidation targeting (avoids write-off/return); forecast enrichment with festival/weather/event context; analog-SKU forecasting for new products; inter-branch stock-balancing; exception narration.</t>
  </si>
  <si>
    <t xml:space="preserve">Inbound/GRN -&gt; putaway -&gt; pick -&gt; pack -&gt; dispatch -&gt; cycle count. Hotspots: GRN keying, SOP queries, damage RCA.</t>
  </si>
  <si>
    <t xml:space="preserve">WMS, ERP, scanners</t>
  </si>
  <si>
    <t xml:space="preserve">Slotting/wave optimisation (WMS).</t>
  </si>
  <si>
    <t xml:space="preserve">GRN pre-fill from parsed inbound docs + mismatch flags; multilingual SOP/safety copilot for floor staff; pick-error/damage root-cause from incident logs; FEFO/batch-expiry compliance checks.</t>
  </si>
  <si>
    <t xml:space="preserve">Load -&gt; route -&gt; dispatch -&gt; track -&gt; POD -&gt; freight recon. Hotspots: freight overcharge, POD matching, exceptions.</t>
  </si>
  <si>
    <t xml:space="preserve">TMS/ERP, GST tools</t>
  </si>
  <si>
    <t xml:space="preserve">Route optimisation; track-and-trace.</t>
  </si>
  <si>
    <t xml:space="preserve">Freight-invoice audit (rates vs contract — recurring overcharge); POD digitisation from signed slips matched to invoices; failed-delivery reason classification + auto-reschedule comms; e-way-bill support.</t>
  </si>
  <si>
    <t xml:space="preserve">Request -&gt; eligibility -&gt; pickup -&gt; inspection -&gt; disposition -&gt; credit note -&gt; return-to-principal. Hotspots: RTP claims, disposition, fraud.</t>
  </si>
  <si>
    <t xml:space="preserve">Return request portal; CN generation.</t>
  </si>
  <si>
    <t xml:space="preserve">Return-to-principal claim recovery (saleable/expiry credits owed by principal); return-fraud/pattern detection; auto-disposition (restock/destroy/RTP).</t>
  </si>
  <si>
    <t xml:space="preserve">Incoming QC -&gt; license/permit mgmt -&gt; batch/recall -&gt; cold-chain -&gt; audits. Hotspots: reg change, renewals, recall tracing.</t>
  </si>
  <si>
    <t xml:space="preserve">QMS, ERP, paper</t>
  </si>
  <si>
    <t xml:space="preserve">Cold-chain sensor alerts.</t>
  </si>
  <si>
    <t xml:space="preserve">Regulatory-change monitoring with impact flags; license/permit renewal tracking + doc prep (drug licence, FSSAI); rapid recall tracing across batches/customers + notifications; CoA parsing &amp; match; audit-readiness assembly.</t>
  </si>
  <si>
    <t xml:space="preserve">Onboarding/credit setup -&gt; order capture -&gt; invoice -&gt; credit control -&gt; collections -&gt; cash app -&gt; deductions. Hotspots: capture, cash app, deductions.</t>
  </si>
  <si>
    <t xml:space="preserve">ERP, SFA, portal, bank</t>
  </si>
  <si>
    <t xml:space="preserve">E-invoicing; auto reminders.</t>
  </si>
  <si>
    <t xml:space="preserve">Order capture from WhatsApp/email/PDF/handwritten + SKU fuzzy-match; intelligent cash application (lump-sum across many invoices with deductions); deduction/short-pay triage; dynamic credit copilot; propensity-based + tailored dunning.</t>
  </si>
  <si>
    <t xml:space="preserve">Bank -&gt; vendor/principal -&gt; customer -&gt; scheme &amp; claims -&gt; tax/ITC -&gt; GL/inter-branch. Hotspots: scheme config, claim leakage, multi-format recon. THE richest area.</t>
  </si>
  <si>
    <t xml:space="preserve">ERP recon, principal portals, GST tools, Excel</t>
  </si>
  <si>
    <t xml:space="preserve">Rules-based bank matching.</t>
  </si>
  <si>
    <t xml:space="preserve">Scheme circular -&gt; structured config; CLAIM-LEAKAGE detection (eligible vs claimed — found money); claim-filed vs settled recon + follow-up; multi-format principal ledger recon; bank-narration parsing; GSTR-2B vs purchase ITC matching + vendor chase.</t>
  </si>
  <si>
    <t xml:space="preserve">Invoice receipt -&gt; 3-way match -&gt; approval -&gt; pay -&gt; vendor recon. Hotspots: coding, duplicates, payment timing.</t>
  </si>
  <si>
    <t xml:space="preserve">Invoice OCR; approval routing.</t>
  </si>
  <si>
    <t xml:space="preserve">Invoice ingestion + auto GL/cost-centre coding; duplicate/fraud payment detection; payment scheduling for working capital + early-pay discounts.</t>
  </si>
  <si>
    <t xml:space="preserve">JEs -&gt; accruals -&gt; inter-branch -&gt; month-end -&gt; financials. Hotspots: variance, narration, audit.</t>
  </si>
  <si>
    <t xml:space="preserve">Close checklist tools.</t>
  </si>
  <si>
    <t xml:space="preserve">Flux/variance analysis with auto-commentary; auto journal narration/classification; close-checklist orchestration; audit sample pulls + schedules + answering auditor queries from ledger.</t>
  </si>
  <si>
    <t xml:space="preserve">GST returns -&gt; e-invoice/e-way -&gt; TDS -&gt; ITC recon -&gt; assessments/notices. Hotspots: notices, returns, exceptions.</t>
  </si>
  <si>
    <t xml:space="preserve">GST suites, ERP</t>
  </si>
  <si>
    <t xml:space="preserve">Return filing tools.</t>
  </si>
  <si>
    <t xml:space="preserve">Tax-notice response drafting citing own returns/records; return prep + 2B reconciliation; e-invoice/e-way exception handling; statutory-change tracking.</t>
  </si>
  <si>
    <t xml:space="preserve">Budget -&gt; forecast -&gt; profitability -&gt; MIS -&gt; reviews. Hotspots: profitability decomposition, MIS, scenarios.</t>
  </si>
  <si>
    <t xml:space="preserve">BI, Excel</t>
  </si>
  <si>
    <t xml:space="preserve">Dashboard refresh.</t>
  </si>
  <si>
    <t xml:space="preserve">Profitability decomposition by SKU/customer/principal/branch with auto-insight (surfaces margin-dilutive accounts); auto MIS + narrative; scenario-modelling assistance; NL queries over financials.</t>
  </si>
  <si>
    <t xml:space="preserve">Cash positioning -&gt; working capital -&gt; banking -&gt; borrowing. Hotspots: forecasting, bank charges, financing recon.</t>
  </si>
  <si>
    <t xml:space="preserve">Excel, bank portals</t>
  </si>
  <si>
    <t xml:space="preserve">Cash position dashboards.</t>
  </si>
  <si>
    <t xml:space="preserve">Cash-flow forecasting from AR/AP behaviour; bank-charge audit (recurring overcharge); channel/dealer-financing reconciliation; working-capital optimisation recommendations.</t>
  </si>
  <si>
    <t xml:space="preserve">Item/customer/vendor/price master -&gt; enrichment -&gt; classification -&gt; dedup -&gt; governance. The spine other automations depend on.</t>
  </si>
  <si>
    <t xml:space="preserve">ERP item master, PIM, portal, Excel</t>
  </si>
  <si>
    <t xml:space="preserve">Bulk template uploads.</t>
  </si>
  <si>
    <t xml:space="preserve">Principal price-list ingestion -&gt; item + price master; HSN/tax-code assignment (compliance risk); UOM/pack-hierarchy parsing; SKU dedup + GTIN cross-map; portal content generation; substitute/alternate mapping; live anomaly governance.</t>
  </si>
  <si>
    <t xml:space="preserve">ERP support -&gt; EDI/integrations -&gt; infra -&gt; helpdesk -&gt; projects. Hotspots: tickets, EDI onboarding, error triage.</t>
  </si>
  <si>
    <t xml:space="preserve">ERP, EDI, ticketing</t>
  </si>
  <si>
    <t xml:space="preserve">Password/access automation.</t>
  </si>
  <si>
    <t xml:space="preserve">Internal IT/ERP helpdesk bot; EDI partner-spec parsing for faster onboarding; integration-error triage from logs; NL ERP report/query generation.</t>
  </si>
  <si>
    <t xml:space="preserve">Pipelines -&gt; dashboards -&gt; ad-hoc -&gt; insights. Hotspots: analyst bottleneck, anomaly watch.</t>
  </si>
  <si>
    <t xml:space="preserve">BI, SQL, warehouse</t>
  </si>
  <si>
    <t xml:space="preserve">Scheduled dashboards.</t>
  </si>
  <si>
    <t xml:space="preserve">Company-wide self-serve NL analytics (umbrella for every 'why did X' ask); anomaly narration on dashboards; report-request fulfilment.</t>
  </si>
  <si>
    <t xml:space="preserve">Hire -&gt; onboard -&gt; payroll/attendance -&gt; grievance -&gt; exit. Large field + warehouse workforce. Hotspots: volume hiring, queries, churn.</t>
  </si>
  <si>
    <t xml:space="preserve">ATS, HRMS, intranet</t>
  </si>
  <si>
    <t xml:space="preserve">Payroll runs; attendance capture.</t>
  </si>
  <si>
    <t xml:space="preserve">High-volume field/warehouse recruitment screening; multilingual HR-policy bot; attendance/payroll query handling; attrition prediction for high-churn roles.</t>
  </si>
  <si>
    <t xml:space="preserve">Principal agreements -&gt; distributor/customer terms -&gt; compliance -&gt; disputes. Hotspots: buried entitlements, obligations.</t>
  </si>
  <si>
    <t xml:space="preserve">Manual, DMS</t>
  </si>
  <si>
    <t xml:space="preserve">Template libraries.</t>
  </si>
  <si>
    <t xml:space="preserve">Principal-agreement abstraction (territory, margin, scheme entitlement, exclusivity, termination — feeds Claims &amp; KAM); obligation tracking; clause checking; legal-notice drafting (feeds Collections).</t>
  </si>
  <si>
    <t xml:space="preserve">Vendor/AMC mgmt -&gt; document mgmt -&gt; travel. Hotspots: invoices, renewals, retrieval.</t>
  </si>
  <si>
    <t xml:space="preserve">Excel, file shares</t>
  </si>
  <si>
    <t xml:space="preserve">Travel booking tools.</t>
  </si>
  <si>
    <t xml:space="preserve">AMC/vendor invoice processing; contract-renewal tracking; semantic document search/retrieval.</t>
  </si>
  <si>
    <t xml:space="preserve">L1 Sub-process</t>
  </si>
  <si>
    <t xml:space="preserve">L2 Process</t>
  </si>
  <si>
    <t xml:space="preserve">L3 Task</t>
  </si>
  <si>
    <t xml:space="preserve">Current Tools</t>
  </si>
  <si>
    <t xml:space="preserve">Manual Hotspot / Pain</t>
  </si>
  <si>
    <t xml:space="preserve">AI / Automation Opportunity</t>
  </si>
  <si>
    <t xml:space="preserve">Obvious / Non-obvious</t>
  </si>
  <si>
    <t xml:space="preserve">Driver Metric (scales with)</t>
  </si>
  <si>
    <t xml:space="preserve">Feasibility</t>
  </si>
  <si>
    <t xml:space="preserve">Composite Priority</t>
  </si>
  <si>
    <t xml:space="preserve">Priority Tier</t>
  </si>
  <si>
    <t xml:space="preserve">Quick Win</t>
  </si>
  <si>
    <t xml:space="preserve">Economic Buyer</t>
  </si>
  <si>
    <t xml:space="preserve">Beat &amp; Coverage</t>
  </si>
  <si>
    <t xml:space="preserve">Beat planning</t>
  </si>
  <si>
    <t xml:space="preserve">Design optimal beat/route per rep</t>
  </si>
  <si>
    <t xml:space="preserve">SFA/DMS</t>
  </si>
  <si>
    <t xml:space="preserve">Manual territory design, uneven coverage</t>
  </si>
  <si>
    <t xml:space="preserve">Route/beat optimisation recommendations</t>
  </si>
  <si>
    <t xml:space="preserve">Non-obvious</t>
  </si>
  <si>
    <t xml:space="preserve">Predictive Model</t>
  </si>
  <si>
    <t xml:space="preserve">Cost-to-Serve</t>
  </si>
  <si>
    <t xml:space="preserve"># outlets x reps</t>
  </si>
  <si>
    <t xml:space="preserve">Med</t>
  </si>
  <si>
    <t xml:space="preserve">Hybrid</t>
  </si>
  <si>
    <t xml:space="preserve">Head of Sales</t>
  </si>
  <si>
    <t xml:space="preserve">Order Booking</t>
  </si>
  <si>
    <t xml:space="preserve">Order capture</t>
  </si>
  <si>
    <t xml:space="preserve">Generate suggested order per outlet</t>
  </si>
  <si>
    <t xml:space="preserve">Rep guesses upsell; assortment gaps missed</t>
  </si>
  <si>
    <t xml:space="preserve">Next-best-order from purchase history + gaps</t>
  </si>
  <si>
    <t xml:space="preserve">Revenue Growth</t>
  </si>
  <si>
    <t xml:space="preserve"># outlets x SKUs</t>
  </si>
  <si>
    <t xml:space="preserve">High</t>
  </si>
  <si>
    <t xml:space="preserve">Capture order via voice/photo at outlet</t>
  </si>
  <si>
    <t xml:space="preserve">SFA/WhatsApp</t>
  </si>
  <si>
    <t xml:space="preserve">Manual keying, errors</t>
  </si>
  <si>
    <t xml:space="preserve">Voice/image-to-structured-order + SKU match</t>
  </si>
  <si>
    <t xml:space="preserve">Doc-Extraction Pipeline</t>
  </si>
  <si>
    <t xml:space="preserve">order volume</t>
  </si>
  <si>
    <t xml:space="preserve">Market Intel</t>
  </si>
  <si>
    <t xml:space="preserve">Field feedback</t>
  </si>
  <si>
    <t xml:space="preserve">Log market &amp; competitor intel from visit</t>
  </si>
  <si>
    <t xml:space="preserve">SFA notes</t>
  </si>
  <si>
    <t xml:space="preserve">Free-text feedback lost / unused</t>
  </si>
  <si>
    <t xml:space="preserve">Mine visit notes into structured intel</t>
  </si>
  <si>
    <t xml:space="preserve">NL-Analytics</t>
  </si>
  <si>
    <t xml:space="preserve"># visits</t>
  </si>
  <si>
    <t xml:space="preserve">Onboarding</t>
  </si>
  <si>
    <t xml:space="preserve">New outlet</t>
  </si>
  <si>
    <t xml:space="preserve">Onboard new outlet from shop photo + GST</t>
  </si>
  <si>
    <t xml:space="preserve">SFA/manual</t>
  </si>
  <si>
    <t xml:space="preserve">Slow KYC &amp; master setup</t>
  </si>
  <si>
    <t xml:space="preserve">Auto-draft customer master from photo + GST</t>
  </si>
  <si>
    <t xml:space="preserve"># new outlets</t>
  </si>
  <si>
    <t xml:space="preserve">People</t>
  </si>
  <si>
    <t xml:space="preserve">Coaching</t>
  </si>
  <si>
    <t xml:space="preserve">Generate rep performance coaching summary</t>
  </si>
  <si>
    <t xml:space="preserve">Dashboards</t>
  </si>
  <si>
    <t xml:space="preserve">Manual, infrequent reviews</t>
  </si>
  <si>
    <t xml:space="preserve">Auto coaching summaries + declining-outlet flags</t>
  </si>
  <si>
    <t xml:space="preserve"># reps</t>
  </si>
  <si>
    <t xml:space="preserve">Telecalling</t>
  </si>
  <si>
    <t xml:space="preserve">Call prep</t>
  </si>
  <si>
    <t xml:space="preserve">Build per-account call brief</t>
  </si>
  <si>
    <t xml:space="preserve">CRM/ERP</t>
  </si>
  <si>
    <t xml:space="preserve">Manual lookup before each call</t>
  </si>
  <si>
    <t xml:space="preserve">Auto per-account brief (buys/overdue/scheme)</t>
  </si>
  <si>
    <t xml:space="preserve">Copilot / Agent-Assist</t>
  </si>
  <si>
    <t xml:space="preserve"># accounts</t>
  </si>
  <si>
    <t xml:space="preserve">Prioritisation</t>
  </si>
  <si>
    <t xml:space="preserve">Prioritise reorder-due accounts</t>
  </si>
  <si>
    <t xml:space="preserve">Static / manual call lists</t>
  </si>
  <si>
    <t xml:space="preserve">Reorder &amp; churn prediction to sequence list</t>
  </si>
  <si>
    <t xml:space="preserve"># accounts x cycle</t>
  </si>
  <si>
    <t xml:space="preserve">On-call</t>
  </si>
  <si>
    <t xml:space="preserve">On-call cross-sell &amp; scheme prompts</t>
  </si>
  <si>
    <t xml:space="preserve">None</t>
  </si>
  <si>
    <t xml:space="preserve">Reps forget cross-sell / schemes</t>
  </si>
  <si>
    <t xml:space="preserve">Real-time agent assist</t>
  </si>
  <si>
    <t xml:space="preserve">call volume</t>
  </si>
  <si>
    <t xml:space="preserve">Logging</t>
  </si>
  <si>
    <t xml:space="preserve">Auto-summarise call into CRM</t>
  </si>
  <si>
    <t xml:space="preserve">CRM</t>
  </si>
  <si>
    <t xml:space="preserve">Logging skipped / thin</t>
  </si>
  <si>
    <t xml:space="preserve">Auto call summary to CRM</t>
  </si>
  <si>
    <t xml:space="preserve">Obvious</t>
  </si>
  <si>
    <t xml:space="preserve">Account Mgmt</t>
  </si>
  <si>
    <t xml:space="preserve">Reviews</t>
  </si>
  <si>
    <t xml:space="preserve">Generate QBR deck from data</t>
  </si>
  <si>
    <t xml:space="preserve">Excel/PPT</t>
  </si>
  <si>
    <t xml:space="preserve">Hours of manual prep</t>
  </si>
  <si>
    <t xml:space="preserve">Auto QBR deck from sales/service data</t>
  </si>
  <si>
    <t xml:space="preserve"># key accounts</t>
  </si>
  <si>
    <t xml:space="preserve">Compliance</t>
  </si>
  <si>
    <t xml:space="preserve">Monitor SLA/fill-rate/pricing vs contract</t>
  </si>
  <si>
    <t xml:space="preserve">Manual / no tracking</t>
  </si>
  <si>
    <t xml:space="preserve">Auto breach detection vs signed terms</t>
  </si>
  <si>
    <t xml:space="preserve">Risk / Compliance</t>
  </si>
  <si>
    <t xml:space="preserve"># contracts</t>
  </si>
  <si>
    <t xml:space="preserve">Order Mgmt</t>
  </si>
  <si>
    <t xml:space="preserve">EDI</t>
  </si>
  <si>
    <t xml:space="preserve">Handle EDI order exceptions</t>
  </si>
  <si>
    <t xml:space="preserve">EDI/ERP</t>
  </si>
  <si>
    <t xml:space="preserve">Mapping/format errors</t>
  </si>
  <si>
    <t xml:space="preserve">EDI exception triage</t>
  </si>
  <si>
    <t xml:space="preserve">RPA+LLM Hybrid</t>
  </si>
  <si>
    <t xml:space="preserve">EDI volume</t>
  </si>
  <si>
    <t xml:space="preserve">CIO</t>
  </si>
  <si>
    <t xml:space="preserve">Business Dev</t>
  </si>
  <si>
    <t xml:space="preserve">Tenders</t>
  </si>
  <si>
    <t xml:space="preserve">Draft RFQ/tender responses</t>
  </si>
  <si>
    <t xml:space="preserve">Manual</t>
  </si>
  <si>
    <t xml:space="preserve">Slow drafting</t>
  </si>
  <si>
    <t xml:space="preserve">Draft RFQ responses from catalog + terms</t>
  </si>
  <si>
    <t xml:space="preserve"># tenders</t>
  </si>
  <si>
    <t xml:space="preserve">Incentives</t>
  </si>
  <si>
    <t xml:space="preserve">Commission</t>
  </si>
  <si>
    <t xml:space="preserve">Compute incentives from scheme rules</t>
  </si>
  <si>
    <t xml:space="preserve">Excel/ERP</t>
  </si>
  <si>
    <t xml:space="preserve">Error-prone manual computation</t>
  </si>
  <si>
    <t xml:space="preserve">Interpret rules + compute payouts</t>
  </si>
  <si>
    <t xml:space="preserve"># reps x schemes</t>
  </si>
  <si>
    <t xml:space="preserve">Disputes</t>
  </si>
  <si>
    <t xml:space="preserve">Resolve incentive disputes</t>
  </si>
  <si>
    <t xml:space="preserve">Email/Excel</t>
  </si>
  <si>
    <t xml:space="preserve">Manual recompute &amp; explain</t>
  </si>
  <si>
    <t xml:space="preserve">Auto recompute + explanation</t>
  </si>
  <si>
    <t xml:space="preserve"># disputes</t>
  </si>
  <si>
    <t xml:space="preserve">Analytics</t>
  </si>
  <si>
    <t xml:space="preserve">Ad-hoc</t>
  </si>
  <si>
    <t xml:space="preserve">Answer ad-hoc 'why' sales questions</t>
  </si>
  <si>
    <t xml:space="preserve">BI/Excel</t>
  </si>
  <si>
    <t xml:space="preserve">Analyst bottleneck</t>
  </si>
  <si>
    <t xml:space="preserve">NL analytics over sales data</t>
  </si>
  <si>
    <t xml:space="preserve">query volume</t>
  </si>
  <si>
    <t xml:space="preserve">Auto sales-review commentary</t>
  </si>
  <si>
    <t xml:space="preserve">BI</t>
  </si>
  <si>
    <t xml:space="preserve">Manual narrative writing</t>
  </si>
  <si>
    <t xml:space="preserve">Generate review commentary</t>
  </si>
  <si>
    <t xml:space="preserve"># reviews</t>
  </si>
  <si>
    <t xml:space="preserve">Trade Mktg</t>
  </si>
  <si>
    <t xml:space="preserve">Scheme comms</t>
  </si>
  <si>
    <t xml:space="preserve">Generate retailer scheme collateral</t>
  </si>
  <si>
    <t xml:space="preserve">Canva/manual</t>
  </si>
  <si>
    <t xml:space="preserve">Slow manual creation</t>
  </si>
  <si>
    <t xml:space="preserve">Scale collateral generation</t>
  </si>
  <si>
    <t xml:space="preserve"># schemes</t>
  </si>
  <si>
    <t xml:space="preserve">CMO</t>
  </si>
  <si>
    <t xml:space="preserve">Co-marketing</t>
  </si>
  <si>
    <t xml:space="preserve">MDF claims</t>
  </si>
  <si>
    <t xml:space="preserve">Compile MDF/co-op claim docs</t>
  </si>
  <si>
    <t xml:space="preserve">Excel/manual</t>
  </si>
  <si>
    <t xml:space="preserve">Leakage; unclaimed MDF</t>
  </si>
  <si>
    <t xml:space="preserve">Auto-compile MDF claims</t>
  </si>
  <si>
    <t xml:space="preserve">Leakage Recovery</t>
  </si>
  <si>
    <t xml:space="preserve">MDF spend</t>
  </si>
  <si>
    <t xml:space="preserve">Campaigns</t>
  </si>
  <si>
    <t xml:space="preserve">Content</t>
  </si>
  <si>
    <t xml:space="preserve">Localised portal/WhatsApp content</t>
  </si>
  <si>
    <t xml:space="preserve">CMS</t>
  </si>
  <si>
    <t xml:space="preserve">Manual, slow localisation</t>
  </si>
  <si>
    <t xml:space="preserve">Multilingual content generation</t>
  </si>
  <si>
    <t xml:space="preserve"># campaigns</t>
  </si>
  <si>
    <t xml:space="preserve">Performance</t>
  </si>
  <si>
    <t xml:space="preserve">Campaign performance read-out</t>
  </si>
  <si>
    <t xml:space="preserve">Manual analysis</t>
  </si>
  <si>
    <t xml:space="preserve">Auto campaign analysis</t>
  </si>
  <si>
    <t xml:space="preserve">Range Mgmt</t>
  </si>
  <si>
    <t xml:space="preserve">Assortment</t>
  </si>
  <si>
    <t xml:space="preserve">Identify assortment gaps by outlet class</t>
  </si>
  <si>
    <t xml:space="preserve">ERP/BI</t>
  </si>
  <si>
    <t xml:space="preserve">Manual, judgment-based</t>
  </si>
  <si>
    <t xml:space="preserve">Gap-analysis recommendations</t>
  </si>
  <si>
    <t xml:space="preserve"># SKUs x outlets</t>
  </si>
  <si>
    <t xml:space="preserve">Commercial Head</t>
  </si>
  <si>
    <t xml:space="preserve">Rationalisation</t>
  </si>
  <si>
    <t xml:space="preserve">Range rationalisation (add/drop)</t>
  </si>
  <si>
    <t xml:space="preserve">Excel</t>
  </si>
  <si>
    <t xml:space="preserve">Gut-feel decisions</t>
  </si>
  <si>
    <t xml:space="preserve">Data-driven add/drop recommendations</t>
  </si>
  <si>
    <t xml:space="preserve"># SKUs</t>
  </si>
  <si>
    <t xml:space="preserve">Principal Mgmt</t>
  </si>
  <si>
    <t xml:space="preserve">Scorecards</t>
  </si>
  <si>
    <t xml:space="preserve">Principal performance scorecards</t>
  </si>
  <si>
    <t xml:space="preserve">Manual compilation</t>
  </si>
  <si>
    <t xml:space="preserve">Auto scorecards</t>
  </si>
  <si>
    <t xml:space="preserve"># principals</t>
  </si>
  <si>
    <t xml:space="preserve">NPD</t>
  </si>
  <si>
    <t xml:space="preserve">Launch</t>
  </si>
  <si>
    <t xml:space="preserve">New-product launch plan</t>
  </si>
  <si>
    <t xml:space="preserve">Slow, inconsistent</t>
  </si>
  <si>
    <t xml:space="preserve">Draft launch plans</t>
  </si>
  <si>
    <t xml:space="preserve"># NPDs</t>
  </si>
  <si>
    <t xml:space="preserve">Margin Mgmt</t>
  </si>
  <si>
    <t xml:space="preserve">Monitoring</t>
  </si>
  <si>
    <t xml:space="preserve">Detect margin leakage (below-floor sales)</t>
  </si>
  <si>
    <t xml:space="preserve">ERP/Excel</t>
  </si>
  <si>
    <t xml:space="preserve">Hidden leakage; no flags</t>
  </si>
  <si>
    <t xml:space="preserve">Flag below-floor SKUs/customers</t>
  </si>
  <si>
    <t xml:space="preserve"># transactions</t>
  </si>
  <si>
    <t xml:space="preserve">Price Maintenance</t>
  </si>
  <si>
    <t xml:space="preserve">Propagation</t>
  </si>
  <si>
    <t xml:space="preserve">Propagate principal price changes</t>
  </si>
  <si>
    <t xml:space="preserve">Manual lag &amp; errors</t>
  </si>
  <si>
    <t xml:space="preserve">Auto price update from price list</t>
  </si>
  <si>
    <t xml:space="preserve"># principals x SKUs</t>
  </si>
  <si>
    <t xml:space="preserve">Deal Desk</t>
  </si>
  <si>
    <t xml:space="preserve">Approvals</t>
  </si>
  <si>
    <t xml:space="preserve">Evaluate special-price requests</t>
  </si>
  <si>
    <t xml:space="preserve">Deal-desk copilot vs floors + precedent</t>
  </si>
  <si>
    <t xml:space="preserve"># deals</t>
  </si>
  <si>
    <t xml:space="preserve">Portal</t>
  </si>
  <si>
    <t xml:space="preserve">Search</t>
  </si>
  <si>
    <t xml:space="preserve">Improve catalog search relevance</t>
  </si>
  <si>
    <t xml:space="preserve">B2B portal</t>
  </si>
  <si>
    <t xml:space="preserve">Poor tags, low findability</t>
  </si>
  <si>
    <t xml:space="preserve">Semantic search</t>
  </si>
  <si>
    <t xml:space="preserve">Semantic Search</t>
  </si>
  <si>
    <t xml:space="preserve">catalog size</t>
  </si>
  <si>
    <t xml:space="preserve">Head of Ecommerce</t>
  </si>
  <si>
    <t xml:space="preserve">Personalisation</t>
  </si>
  <si>
    <t xml:space="preserve">Personalised assortment / recommendations</t>
  </si>
  <si>
    <t xml:space="preserve">No personalisation</t>
  </si>
  <si>
    <t xml:space="preserve">Per-buyer recommendations</t>
  </si>
  <si>
    <t xml:space="preserve"># buyers x SKUs</t>
  </si>
  <si>
    <t xml:space="preserve">Adoption</t>
  </si>
  <si>
    <t xml:space="preserve">Channel shift</t>
  </si>
  <si>
    <t xml:space="preserve">Shift offline buyers to portal</t>
  </si>
  <si>
    <t xml:space="preserve">ERP/portal</t>
  </si>
  <si>
    <t xml:space="preserve">Manual, untargeted</t>
  </si>
  <si>
    <t xml:space="preserve">Detect + nudge offline buyers</t>
  </si>
  <si>
    <t xml:space="preserve"># offline accounts</t>
  </si>
  <si>
    <t xml:space="preserve">Merchandising</t>
  </si>
  <si>
    <t xml:space="preserve">Auto-merch</t>
  </si>
  <si>
    <t xml:space="preserve">Surface scheme/near-expiry/slow SKUs</t>
  </si>
  <si>
    <t xml:space="preserve">Manual merchandising</t>
  </si>
  <si>
    <t xml:space="preserve">Auto-merchandising rules</t>
  </si>
  <si>
    <t xml:space="preserve">Order Status</t>
  </si>
  <si>
    <t xml:space="preserve">Tracking</t>
  </si>
  <si>
    <t xml:space="preserve">Answer order-status queries</t>
  </si>
  <si>
    <t xml:space="preserve">Helpdesk/WhatsApp/ERP</t>
  </si>
  <si>
    <t xml:space="preserve">High manual volume</t>
  </si>
  <si>
    <t xml:space="preserve">Order-status bot from ERP</t>
  </si>
  <si>
    <t xml:space="preserve">Autonomous Agent</t>
  </si>
  <si>
    <t xml:space="preserve">ticket volume</t>
  </si>
  <si>
    <t xml:space="preserve">Customer Service Head</t>
  </si>
  <si>
    <t xml:space="preserve">Discrepancy</t>
  </si>
  <si>
    <t xml:space="preserve">Explain 'why is my order short'</t>
  </si>
  <si>
    <t xml:space="preserve">Repeated calls</t>
  </si>
  <si>
    <t xml:space="preserve">Auto-explainer (stockout/credit/MOQ)</t>
  </si>
  <si>
    <t xml:space="preserve"># short orders</t>
  </si>
  <si>
    <t xml:space="preserve">Complaints</t>
  </si>
  <si>
    <t xml:space="preserve">Damage/shortage</t>
  </si>
  <si>
    <t xml:space="preserve">Intake complaint from photo</t>
  </si>
  <si>
    <t xml:space="preserve">WhatsApp</t>
  </si>
  <si>
    <t xml:space="preserve">Manual triage</t>
  </si>
  <si>
    <t xml:space="preserve">Image+text classify -&gt; CN/replacement</t>
  </si>
  <si>
    <t xml:space="preserve"># complaints</t>
  </si>
  <si>
    <t xml:space="preserve">VOC</t>
  </si>
  <si>
    <t xml:space="preserve">Insight</t>
  </si>
  <si>
    <t xml:space="preserve">Mine complaints for systemic issues</t>
  </si>
  <si>
    <t xml:space="preserve">Helpdesk</t>
  </si>
  <si>
    <t xml:space="preserve">Never analysed</t>
  </si>
  <si>
    <t xml:space="preserve">Cluster to find batch/route issues</t>
  </si>
  <si>
    <t xml:space="preserve">COO</t>
  </si>
  <si>
    <t xml:space="preserve">Returns</t>
  </si>
  <si>
    <t xml:space="preserve">Eligibility</t>
  </si>
  <si>
    <t xml:space="preserve">Check return eligibility vs policy</t>
  </si>
  <si>
    <t xml:space="preserve">Case-by-case judgment</t>
  </si>
  <si>
    <t xml:space="preserve">Auto eligibility check</t>
  </si>
  <si>
    <t xml:space="preserve"># returns</t>
  </si>
  <si>
    <t xml:space="preserve">Proactive</t>
  </si>
  <si>
    <t xml:space="preserve">Notifications</t>
  </si>
  <si>
    <t xml:space="preserve">Proactive delay/partial alerts</t>
  </si>
  <si>
    <t xml:space="preserve">Reactive only</t>
  </si>
  <si>
    <t xml:space="preserve">Detect + notify before complaint</t>
  </si>
  <si>
    <t xml:space="preserve">Agent Support</t>
  </si>
  <si>
    <t xml:space="preserve">Knowledge</t>
  </si>
  <si>
    <t xml:space="preserve">Agent-assist draft replies</t>
  </si>
  <si>
    <t xml:space="preserve">Slow responses</t>
  </si>
  <si>
    <t xml:space="preserve">Summarise thread + draft reply</t>
  </si>
  <si>
    <t xml:space="preserve">Purchasing</t>
  </si>
  <si>
    <t xml:space="preserve">PO creation</t>
  </si>
  <si>
    <t xml:space="preserve">Auto-suggest PO from forecast + ROP</t>
  </si>
  <si>
    <t xml:space="preserve">Manual PO sizing</t>
  </si>
  <si>
    <t xml:space="preserve">Auto-PO suggestions</t>
  </si>
  <si>
    <t xml:space="preserve">Working Capital</t>
  </si>
  <si>
    <t xml:space="preserve">Buying strategy</t>
  </si>
  <si>
    <t xml:space="preserve">Scheme-timed buying</t>
  </si>
  <si>
    <t xml:space="preserve">Missed margin on scheme timing</t>
  </si>
  <si>
    <t xml:space="preserve">Time buys to principal schemes</t>
  </si>
  <si>
    <t xml:space="preserve"># principals x schemes</t>
  </si>
  <si>
    <t xml:space="preserve">P2P</t>
  </si>
  <si>
    <t xml:space="preserve">3-way match</t>
  </si>
  <si>
    <t xml:space="preserve">Match PO-GRN-Invoice across formats</t>
  </si>
  <si>
    <t xml:space="preserve">Manual matching</t>
  </si>
  <si>
    <t xml:space="preserve">LLM 3-way match + flag</t>
  </si>
  <si>
    <t xml:space="preserve">invoice volume</t>
  </si>
  <si>
    <t xml:space="preserve">CFO</t>
  </si>
  <si>
    <t xml:space="preserve">Coordination</t>
  </si>
  <si>
    <t xml:space="preserve">Draft shortage/expiry correspondence</t>
  </si>
  <si>
    <t xml:space="preserve">Email</t>
  </si>
  <si>
    <t xml:space="preserve">Manual back-and-forth</t>
  </si>
  <si>
    <t xml:space="preserve">Auto-draft principal comms</t>
  </si>
  <si>
    <t xml:space="preserve"># POs</t>
  </si>
  <si>
    <t xml:space="preserve">Forecasting</t>
  </si>
  <si>
    <t xml:space="preserve">Demand forecast</t>
  </si>
  <si>
    <t xml:space="preserve">Enrich forecast with festival/weather</t>
  </si>
  <si>
    <t xml:space="preserve">Planning tool/Excel</t>
  </si>
  <si>
    <t xml:space="preserve">Context signals ignored</t>
  </si>
  <si>
    <t xml:space="preserve">Context-enriched forecast</t>
  </si>
  <si>
    <t xml:space="preserve">New product</t>
  </si>
  <si>
    <t xml:space="preserve">New-product forecast (no history)</t>
  </si>
  <si>
    <t xml:space="preserve">Guesswork</t>
  </si>
  <si>
    <t xml:space="preserve">Analog-SKU forecasting</t>
  </si>
  <si>
    <t xml:space="preserve">Expiry Mgmt</t>
  </si>
  <si>
    <t xml:space="preserve">Liquidation</t>
  </si>
  <si>
    <t xml:space="preserve">Near-expiry liquidation targeting</t>
  </si>
  <si>
    <t xml:space="preserve">Write-offs / returns</t>
  </si>
  <si>
    <t xml:space="preserve">Identify at-risk + auto offers</t>
  </si>
  <si>
    <t xml:space="preserve">near-expiry stock value</t>
  </si>
  <si>
    <t xml:space="preserve">Replenishment</t>
  </si>
  <si>
    <t xml:space="preserve">Balancing</t>
  </si>
  <si>
    <t xml:space="preserve">Inter-branch stock balancing</t>
  </si>
  <si>
    <t xml:space="preserve">Manual transfers</t>
  </si>
  <si>
    <t xml:space="preserve">Balancing recommendations</t>
  </si>
  <si>
    <t xml:space="preserve"># branches x SKUs</t>
  </si>
  <si>
    <t xml:space="preserve">Exceptions</t>
  </si>
  <si>
    <t xml:space="preserve">Narration</t>
  </si>
  <si>
    <t xml:space="preserve">Forecast exception narration</t>
  </si>
  <si>
    <t xml:space="preserve">Planning tool</t>
  </si>
  <si>
    <t xml:space="preserve">Manual explanation</t>
  </si>
  <si>
    <t xml:space="preserve">Auto-narrate misses</t>
  </si>
  <si>
    <t xml:space="preserve">Inbound</t>
  </si>
  <si>
    <t xml:space="preserve">GRN</t>
  </si>
  <si>
    <t xml:space="preserve">Pre-fill GRN from inbound docs</t>
  </si>
  <si>
    <t xml:space="preserve">WMS/ERP</t>
  </si>
  <si>
    <t xml:space="preserve">Manual keying</t>
  </si>
  <si>
    <t xml:space="preserve">Parse docs -&gt; GRN + mismatch flag</t>
  </si>
  <si>
    <t xml:space="preserve">inbound volume</t>
  </si>
  <si>
    <t xml:space="preserve">Floor Ops</t>
  </si>
  <si>
    <t xml:space="preserve">SOP support</t>
  </si>
  <si>
    <t xml:space="preserve">Multilingual SOP/safety copilot</t>
  </si>
  <si>
    <t xml:space="preserve">Paper SOPs</t>
  </si>
  <si>
    <t xml:space="preserve">Staff queries, errors</t>
  </si>
  <si>
    <t xml:space="preserve">SOP Q&amp;A bot</t>
  </si>
  <si>
    <t xml:space="preserve"># staff</t>
  </si>
  <si>
    <t xml:space="preserve">Quality</t>
  </si>
  <si>
    <t xml:space="preserve">RCA</t>
  </si>
  <si>
    <t xml:space="preserve">Pick-error / damage root-cause</t>
  </si>
  <si>
    <t xml:space="preserve">Incident logs</t>
  </si>
  <si>
    <t xml:space="preserve">RCA from logs</t>
  </si>
  <si>
    <t xml:space="preserve"># incidents</t>
  </si>
  <si>
    <t xml:space="preserve">FEFO</t>
  </si>
  <si>
    <t xml:space="preserve">FEFO / batch-expiry checks</t>
  </si>
  <si>
    <t xml:space="preserve">WMS</t>
  </si>
  <si>
    <t xml:space="preserve">Manual checks</t>
  </si>
  <si>
    <t xml:space="preserve">Auto FEFO compliance check</t>
  </si>
  <si>
    <t xml:space="preserve"># batches</t>
  </si>
  <si>
    <t xml:space="preserve">Freight</t>
  </si>
  <si>
    <t xml:space="preserve">Recon</t>
  </si>
  <si>
    <t xml:space="preserve">Audit transporter invoices vs rates</t>
  </si>
  <si>
    <t xml:space="preserve">Overcharge leakage</t>
  </si>
  <si>
    <t xml:space="preserve">Auto freight-bill audit</t>
  </si>
  <si>
    <t xml:space="preserve"># freight bills</t>
  </si>
  <si>
    <t xml:space="preserve">Delivery</t>
  </si>
  <si>
    <t xml:space="preserve">POD</t>
  </si>
  <si>
    <t xml:space="preserve">Digitise signed PODs</t>
  </si>
  <si>
    <t xml:space="preserve">Paper/manual</t>
  </si>
  <si>
    <t xml:space="preserve">Parse POD images -&gt; match invoice</t>
  </si>
  <si>
    <t xml:space="preserve"># deliveries</t>
  </si>
  <si>
    <t xml:space="preserve">Failed-delivery reason + reschedule</t>
  </si>
  <si>
    <t xml:space="preserve">Manual handling</t>
  </si>
  <si>
    <t xml:space="preserve">Classify + auto reschedule comms</t>
  </si>
  <si>
    <t xml:space="preserve"># failed deliveries</t>
  </si>
  <si>
    <t xml:space="preserve">E-way bill</t>
  </si>
  <si>
    <t xml:space="preserve">E-way bill generation / validation</t>
  </si>
  <si>
    <t xml:space="preserve">GST tools</t>
  </si>
  <si>
    <t xml:space="preserve">Manual generation</t>
  </si>
  <si>
    <t xml:space="preserve">Auto e-way bill support</t>
  </si>
  <si>
    <t xml:space="preserve"># shipments</t>
  </si>
  <si>
    <t xml:space="preserve">Principal returns</t>
  </si>
  <si>
    <t xml:space="preserve">File return-to-principal claims</t>
  </si>
  <si>
    <t xml:space="preserve">Leakage; unclaimed credits</t>
  </si>
  <si>
    <t xml:space="preserve">Auto-compile RTP claims</t>
  </si>
  <si>
    <t xml:space="preserve">return value</t>
  </si>
  <si>
    <t xml:space="preserve">Disposition</t>
  </si>
  <si>
    <t xml:space="preserve">Auto-disposition (restock/destroy/RTP)</t>
  </si>
  <si>
    <t xml:space="preserve">Inconsistent decisions</t>
  </si>
  <si>
    <t xml:space="preserve">Auto disposition decision</t>
  </si>
  <si>
    <t xml:space="preserve">Fraud</t>
  </si>
  <si>
    <t xml:space="preserve">Return-pattern / fraud detection</t>
  </si>
  <si>
    <t xml:space="preserve">No detection</t>
  </si>
  <si>
    <t xml:space="preserve">Pattern detection</t>
  </si>
  <si>
    <t xml:space="preserve">Credit</t>
  </si>
  <si>
    <t xml:space="preserve">Auto credit-note from inspection</t>
  </si>
  <si>
    <t xml:space="preserve">Manual CN</t>
  </si>
  <si>
    <t xml:space="preserve">CN automation</t>
  </si>
  <si>
    <t xml:space="preserve">Reg monitoring</t>
  </si>
  <si>
    <t xml:space="preserve">Track regulatory changes</t>
  </si>
  <si>
    <t xml:space="preserve">Manual/web</t>
  </si>
  <si>
    <t xml:space="preserve">Missed changes</t>
  </si>
  <si>
    <t xml:space="preserve">Reg-change monitoring + impact</t>
  </si>
  <si>
    <t xml:space="preserve"># categories</t>
  </si>
  <si>
    <t xml:space="preserve">Licensing</t>
  </si>
  <si>
    <t xml:space="preserve">Renewals</t>
  </si>
  <si>
    <t xml:space="preserve">License / permit renewal tracking</t>
  </si>
  <si>
    <t xml:space="preserve">Lapses, penalties</t>
  </si>
  <si>
    <t xml:space="preserve">Renewal tracking + doc prep</t>
  </si>
  <si>
    <t xml:space="preserve"># licenses</t>
  </si>
  <si>
    <t xml:space="preserve">Recall</t>
  </si>
  <si>
    <t xml:space="preserve">Tracing</t>
  </si>
  <si>
    <t xml:space="preserve">Batch recall tracing + notify</t>
  </si>
  <si>
    <t xml:space="preserve">Slow manual tracing</t>
  </si>
  <si>
    <t xml:space="preserve">Trace batches + draft notifications</t>
  </si>
  <si>
    <t xml:space="preserve">Inbound QC</t>
  </si>
  <si>
    <t xml:space="preserve">CoA</t>
  </si>
  <si>
    <t xml:space="preserve">CoA parsing + spec match</t>
  </si>
  <si>
    <t xml:space="preserve">Paper</t>
  </si>
  <si>
    <t xml:space="preserve">Manual checking</t>
  </si>
  <si>
    <t xml:space="preserve">Parse CoA + match spec</t>
  </si>
  <si>
    <t xml:space="preserve"># inbound lots</t>
  </si>
  <si>
    <t xml:space="preserve">Audit</t>
  </si>
  <si>
    <t xml:space="preserve">Readiness</t>
  </si>
  <si>
    <t xml:space="preserve">Audit-readiness assembly</t>
  </si>
  <si>
    <t xml:space="preserve">Scramble at audit time</t>
  </si>
  <si>
    <t xml:space="preserve">Assemble docs + gap-check</t>
  </si>
  <si>
    <t xml:space="preserve"># audits</t>
  </si>
  <si>
    <t xml:space="preserve">Order Capture</t>
  </si>
  <si>
    <t xml:space="preserve">Multi-channel</t>
  </si>
  <si>
    <t xml:space="preserve">Parse WhatsApp/email/PDF orders</t>
  </si>
  <si>
    <t xml:space="preserve">ERP/WhatsApp</t>
  </si>
  <si>
    <t xml:space="preserve">Order capture from unstructured channels</t>
  </si>
  <si>
    <t xml:space="preserve">Cash Application</t>
  </si>
  <si>
    <t xml:space="preserve">Receipt matching</t>
  </si>
  <si>
    <t xml:space="preserve">Match lump-sum receipts to invoices</t>
  </si>
  <si>
    <t xml:space="preserve">ERP/bank</t>
  </si>
  <si>
    <t xml:space="preserve">Highly manual allocation</t>
  </si>
  <si>
    <t xml:space="preserve">LLM cash application</t>
  </si>
  <si>
    <t xml:space="preserve"># receipts x invoices</t>
  </si>
  <si>
    <t xml:space="preserve">Deductions</t>
  </si>
  <si>
    <t xml:space="preserve">Short-pay</t>
  </si>
  <si>
    <t xml:space="preserve">Triage deduction reasons</t>
  </si>
  <si>
    <t xml:space="preserve">Remittance/email</t>
  </si>
  <si>
    <t xml:space="preserve">Manual investigation</t>
  </si>
  <si>
    <t xml:space="preserve">Classify + route + draft resolution</t>
  </si>
  <si>
    <t xml:space="preserve"># deductions</t>
  </si>
  <si>
    <t xml:space="preserve">Credit review</t>
  </si>
  <si>
    <t xml:space="preserve">Draft credit-review memos + limit recos</t>
  </si>
  <si>
    <t xml:space="preserve">Static annual reviews</t>
  </si>
  <si>
    <t xml:space="preserve">Dynamic credit copilot</t>
  </si>
  <si>
    <t xml:space="preserve"># customers</t>
  </si>
  <si>
    <t xml:space="preserve">Collections</t>
  </si>
  <si>
    <t xml:space="preserve">Dunning</t>
  </si>
  <si>
    <t xml:space="preserve">Prioritise + draft tailored dunning</t>
  </si>
  <si>
    <t xml:space="preserve">ERP/email</t>
  </si>
  <si>
    <t xml:space="preserve">Generic chasing</t>
  </si>
  <si>
    <t xml:space="preserve">Propensity-to-pay + tailored dunning</t>
  </si>
  <si>
    <t xml:space="preserve">overdue AR</t>
  </si>
  <si>
    <t xml:space="preserve">KYC/credit</t>
  </si>
  <si>
    <t xml:space="preserve">Auto KYC + credit setup</t>
  </si>
  <si>
    <t xml:space="preserve">Slow manual onboarding</t>
  </si>
  <si>
    <t xml:space="preserve">Parse docs -&gt; onboard + score</t>
  </si>
  <si>
    <t xml:space="preserve"># new customers</t>
  </si>
  <si>
    <t xml:space="preserve">Scheme Mgmt</t>
  </si>
  <si>
    <t xml:space="preserve">Scheme config</t>
  </si>
  <si>
    <t xml:space="preserve">Parse scheme circular -&gt; config</t>
  </si>
  <si>
    <t xml:space="preserve">PDF/email/ERP</t>
  </si>
  <si>
    <t xml:space="preserve">Manual, error-prone</t>
  </si>
  <si>
    <t xml:space="preserve">Extract scheme terms to structured config</t>
  </si>
  <si>
    <t xml:space="preserve">Leakage</t>
  </si>
  <si>
    <t xml:space="preserve">Detect unclaimed eligible schemes</t>
  </si>
  <si>
    <t xml:space="preserve">Money left on table</t>
  </si>
  <si>
    <t xml:space="preserve">Eligibility vs claimed gap analysis</t>
  </si>
  <si>
    <t xml:space="preserve"># schemes x sales</t>
  </si>
  <si>
    <t xml:space="preserve">Claim recon</t>
  </si>
  <si>
    <t xml:space="preserve">Reconcile claim filed vs settled</t>
  </si>
  <si>
    <t xml:space="preserve">Invisible short-settlement</t>
  </si>
  <si>
    <t xml:space="preserve">Match filed vs received + follow-up</t>
  </si>
  <si>
    <t xml:space="preserve"># claims</t>
  </si>
  <si>
    <t xml:space="preserve">Vendor Recon</t>
  </si>
  <si>
    <t xml:space="preserve">Principal ledger</t>
  </si>
  <si>
    <t xml:space="preserve">Reconcile principal statements (any format)</t>
  </si>
  <si>
    <t xml:space="preserve">Massive manual effort</t>
  </si>
  <si>
    <t xml:space="preserve">Normalise + match + flag discrepancies</t>
  </si>
  <si>
    <t xml:space="preserve">Bank Recon</t>
  </si>
  <si>
    <t xml:space="preserve">BRS</t>
  </si>
  <si>
    <t xml:space="preserve">Decode bank narrations + match</t>
  </si>
  <si>
    <t xml:space="preserve">Unmatched pile-up</t>
  </si>
  <si>
    <t xml:space="preserve">Narration parsing + match suggestions</t>
  </si>
  <si>
    <t xml:space="preserve"># bank lines</t>
  </si>
  <si>
    <t xml:space="preserve">Tax Recon</t>
  </si>
  <si>
    <t xml:space="preserve">ITC</t>
  </si>
  <si>
    <t xml:space="preserve">GSTR-2B vs purchase match + chase</t>
  </si>
  <si>
    <t xml:space="preserve">ITC loss, blocked credit</t>
  </si>
  <si>
    <t xml:space="preserve">Mismatch detection + vendor chase</t>
  </si>
  <si>
    <t xml:space="preserve"># purchase invoices</t>
  </si>
  <si>
    <t xml:space="preserve">Invoice Processing</t>
  </si>
  <si>
    <t xml:space="preserve">Coding</t>
  </si>
  <si>
    <t xml:space="preserve">Ingest + code AP invoices</t>
  </si>
  <si>
    <t xml:space="preserve">Manual entry &amp; coding</t>
  </si>
  <si>
    <t xml:space="preserve">Invoice ingestion + GL coding</t>
  </si>
  <si>
    <t xml:space="preserve">Controls</t>
  </si>
  <si>
    <t xml:space="preserve">Duplicate / fraud payment detection</t>
  </si>
  <si>
    <t xml:space="preserve">Anomaly detection</t>
  </si>
  <si>
    <t xml:space="preserve">payment volume</t>
  </si>
  <si>
    <t xml:space="preserve">Payment</t>
  </si>
  <si>
    <t xml:space="preserve">Timing</t>
  </si>
  <si>
    <t xml:space="preserve">Optimise payment timing (discounts/WC)</t>
  </si>
  <si>
    <t xml:space="preserve">Missed early-pay discounts</t>
  </si>
  <si>
    <t xml:space="preserve">Payment scheduling optimisation</t>
  </si>
  <si>
    <t xml:space="preserve">payables</t>
  </si>
  <si>
    <t xml:space="preserve">Close</t>
  </si>
  <si>
    <t xml:space="preserve">Variance</t>
  </si>
  <si>
    <t xml:space="preserve">Flux / variance auto-commentary</t>
  </si>
  <si>
    <t xml:space="preserve">Auto flux analysis + commentary</t>
  </si>
  <si>
    <t xml:space="preserve"># GL accounts</t>
  </si>
  <si>
    <t xml:space="preserve">JEs</t>
  </si>
  <si>
    <t xml:space="preserve">Auto journal narration / classification</t>
  </si>
  <si>
    <t xml:space="preserve">Manual narration</t>
  </si>
  <si>
    <t xml:space="preserve">Classify + narrate JEs</t>
  </si>
  <si>
    <t xml:space="preserve"># JEs</t>
  </si>
  <si>
    <t xml:space="preserve">Support</t>
  </si>
  <si>
    <t xml:space="preserve">Audit sample pulls + schedules + queries</t>
  </si>
  <si>
    <t xml:space="preserve">Manual scramble</t>
  </si>
  <si>
    <t xml:space="preserve">Assemble + answer auditor queries</t>
  </si>
  <si>
    <t xml:space="preserve">audit scope</t>
  </si>
  <si>
    <t xml:space="preserve">Notices</t>
  </si>
  <si>
    <t xml:space="preserve">Response</t>
  </si>
  <si>
    <t xml:space="preserve">Draft tax-notice responses</t>
  </si>
  <si>
    <t xml:space="preserve">Slow, risky</t>
  </si>
  <si>
    <t xml:space="preserve">Draft replies citing own records</t>
  </si>
  <si>
    <t xml:space="preserve"># notices</t>
  </si>
  <si>
    <t xml:space="preserve">Filing</t>
  </si>
  <si>
    <t xml:space="preserve">Prepare + reconcile GST returns</t>
  </si>
  <si>
    <t xml:space="preserve">Manual prep</t>
  </si>
  <si>
    <t xml:space="preserve">Return prep + recon</t>
  </si>
  <si>
    <t xml:space="preserve">E-invoice</t>
  </si>
  <si>
    <t xml:space="preserve">E-invoice / e-way exception handling</t>
  </si>
  <si>
    <t xml:space="preserve">Manual fixes</t>
  </si>
  <si>
    <t xml:space="preserve">Exception triage</t>
  </si>
  <si>
    <t xml:space="preserve">Profitability</t>
  </si>
  <si>
    <t xml:space="preserve">Analysis</t>
  </si>
  <si>
    <t xml:space="preserve">Profitability decomposition (SKU/cust/principal)</t>
  </si>
  <si>
    <t xml:space="preserve">Manual slicing</t>
  </si>
  <si>
    <t xml:space="preserve">Auto-insight decomposition</t>
  </si>
  <si>
    <t xml:space="preserve">data breadth</t>
  </si>
  <si>
    <t xml:space="preserve">MIS</t>
  </si>
  <si>
    <t xml:space="preserve">Reporting</t>
  </si>
  <si>
    <t xml:space="preserve">Auto MIS + narrative</t>
  </si>
  <si>
    <t xml:space="preserve">Excel/BI</t>
  </si>
  <si>
    <t xml:space="preserve">Manual reports</t>
  </si>
  <si>
    <t xml:space="preserve">Auto report + commentary</t>
  </si>
  <si>
    <t xml:space="preserve"># reports</t>
  </si>
  <si>
    <t xml:space="preserve">Planning</t>
  </si>
  <si>
    <t xml:space="preserve">Scenarios</t>
  </si>
  <si>
    <t xml:space="preserve">Scenario-modelling assistance</t>
  </si>
  <si>
    <t xml:space="preserve">Slow modelling</t>
  </si>
  <si>
    <t xml:space="preserve">Scenario copilot</t>
  </si>
  <si>
    <t xml:space="preserve"># scenarios</t>
  </si>
  <si>
    <t xml:space="preserve">Cash</t>
  </si>
  <si>
    <t xml:space="preserve">Forecast</t>
  </si>
  <si>
    <t xml:space="preserve">Cash-flow forecast from AR/AP</t>
  </si>
  <si>
    <t xml:space="preserve">Manual, lagging</t>
  </si>
  <si>
    <t xml:space="preserve">Predictive cash forecast</t>
  </si>
  <si>
    <t xml:space="preserve">AR/AP volume</t>
  </si>
  <si>
    <t xml:space="preserve">Banking</t>
  </si>
  <si>
    <t xml:space="preserve">Charges</t>
  </si>
  <si>
    <t xml:space="preserve">Bank-charge audit</t>
  </si>
  <si>
    <t xml:space="preserve">Auto bank-charge audit</t>
  </si>
  <si>
    <t xml:space="preserve"># bank transactions</t>
  </si>
  <si>
    <t xml:space="preserve">Financing</t>
  </si>
  <si>
    <t xml:space="preserve">Channel / dealer financing recon</t>
  </si>
  <si>
    <t xml:space="preserve">Excel/bank</t>
  </si>
  <si>
    <t xml:space="preserve">Manual recon</t>
  </si>
  <si>
    <t xml:space="preserve">Financing reconciliation</t>
  </si>
  <si>
    <t xml:space="preserve">financing volume</t>
  </si>
  <si>
    <t xml:space="preserve">Item Master</t>
  </si>
  <si>
    <t xml:space="preserve">Create item master from principal price list</t>
  </si>
  <si>
    <t xml:space="preserve">Manual, recurring</t>
  </si>
  <si>
    <t xml:space="preserve">Parse price list -&gt; item + price master</t>
  </si>
  <si>
    <t xml:space="preserve">Classification</t>
  </si>
  <si>
    <t xml:space="preserve">Assign HSN / tax codes</t>
  </si>
  <si>
    <t xml:space="preserve">Error + compliance risk</t>
  </si>
  <si>
    <t xml:space="preserve">Auto HSN classification</t>
  </si>
  <si>
    <t xml:space="preserve">Normalisation</t>
  </si>
  <si>
    <t xml:space="preserve">UOM / pack-hierarchy parsing</t>
  </si>
  <si>
    <t xml:space="preserve">Breaks ordering/pricing</t>
  </si>
  <si>
    <t xml:space="preserve">Parse pack hierarchy</t>
  </si>
  <si>
    <t xml:space="preserve">Dedup</t>
  </si>
  <si>
    <t xml:space="preserve">SKU dedup + cross-reference map</t>
  </si>
  <si>
    <t xml:space="preserve">Duplicate masters</t>
  </si>
  <si>
    <t xml:space="preserve">Dedup + GTIN cross-map</t>
  </si>
  <si>
    <t xml:space="preserve">Governance</t>
  </si>
  <si>
    <t xml:space="preserve">Anomaly</t>
  </si>
  <si>
    <t xml:space="preserve">Master-data anomaly flagging</t>
  </si>
  <si>
    <t xml:space="preserve">Periodic cleanup only</t>
  </si>
  <si>
    <t xml:space="preserve">Live anomaly governance</t>
  </si>
  <si>
    <t xml:space="preserve">master size</t>
  </si>
  <si>
    <t xml:space="preserve">Enrichment</t>
  </si>
  <si>
    <t xml:space="preserve">Generate portal product content</t>
  </si>
  <si>
    <t xml:space="preserve">PIM/portal</t>
  </si>
  <si>
    <t xml:space="preserve">Sparse principal data</t>
  </si>
  <si>
    <t xml:space="preserve">Content generation</t>
  </si>
  <si>
    <t xml:space="preserve">Substitutes</t>
  </si>
  <si>
    <t xml:space="preserve">Substitute / alternate mapping</t>
  </si>
  <si>
    <t xml:space="preserve">Lost sales on OOS</t>
  </si>
  <si>
    <t xml:space="preserve">Auto alternate mapping</t>
  </si>
  <si>
    <t xml:space="preserve">Internal IT/ERP helpdesk bot</t>
  </si>
  <si>
    <t xml:space="preserve">Ticketing</t>
  </si>
  <si>
    <t xml:space="preserve">Ticket load</t>
  </si>
  <si>
    <t xml:space="preserve">IT/ERP Q&amp;A bot</t>
  </si>
  <si>
    <t xml:space="preserve"># users</t>
  </si>
  <si>
    <t xml:space="preserve">Integration</t>
  </si>
  <si>
    <t xml:space="preserve">EDI partner-spec parsing / onboarding</t>
  </si>
  <si>
    <t xml:space="preserve">Slow onboarding</t>
  </si>
  <si>
    <t xml:space="preserve">Parse specs -&gt; mapping</t>
  </si>
  <si>
    <t xml:space="preserve"># partners</t>
  </si>
  <si>
    <t xml:space="preserve">Operations</t>
  </si>
  <si>
    <t xml:space="preserve">Triage</t>
  </si>
  <si>
    <t xml:space="preserve">Integration-error triage from logs</t>
  </si>
  <si>
    <t xml:space="preserve">Logs</t>
  </si>
  <si>
    <t xml:space="preserve">Manual debugging</t>
  </si>
  <si>
    <t xml:space="preserve">Log triage</t>
  </si>
  <si>
    <t xml:space="preserve">error volume</t>
  </si>
  <si>
    <t xml:space="preserve">Self-serve</t>
  </si>
  <si>
    <t xml:space="preserve">NL ERP report / query generation</t>
  </si>
  <si>
    <t xml:space="preserve">ERP/SQL</t>
  </si>
  <si>
    <t xml:space="preserve">NL -&gt; query</t>
  </si>
  <si>
    <t xml:space="preserve">Company-wide NL analytics</t>
  </si>
  <si>
    <t xml:space="preserve">NL analytics layer</t>
  </si>
  <si>
    <t xml:space="preserve">Anomaly narration on dashboards</t>
  </si>
  <si>
    <t xml:space="preserve">Manual watching</t>
  </si>
  <si>
    <t xml:space="preserve">Auto anomaly narration</t>
  </si>
  <si>
    <t xml:space="preserve"># metrics</t>
  </si>
  <si>
    <t xml:space="preserve">Fulfilment</t>
  </si>
  <si>
    <t xml:space="preserve">Reports</t>
  </si>
  <si>
    <t xml:space="preserve">Report-request fulfilment</t>
  </si>
  <si>
    <t xml:space="preserve">Backlog</t>
  </si>
  <si>
    <t xml:space="preserve">Auto report generation</t>
  </si>
  <si>
    <t xml:space="preserve"># requests</t>
  </si>
  <si>
    <t xml:space="preserve">Talent</t>
  </si>
  <si>
    <t xml:space="preserve">Recruitment</t>
  </si>
  <si>
    <t xml:space="preserve">High-volume field/WH screening</t>
  </si>
  <si>
    <t xml:space="preserve">ATS</t>
  </si>
  <si>
    <t xml:space="preserve">Manual screening</t>
  </si>
  <si>
    <t xml:space="preserve">Resume screening at scale</t>
  </si>
  <si>
    <t xml:space="preserve"># applicants</t>
  </si>
  <si>
    <t xml:space="preserve">CHRO</t>
  </si>
  <si>
    <t xml:space="preserve">Policy</t>
  </si>
  <si>
    <t xml:space="preserve">Multilingual HR-policy bot</t>
  </si>
  <si>
    <t xml:space="preserve">Intranet</t>
  </si>
  <si>
    <t xml:space="preserve">Repeated queries</t>
  </si>
  <si>
    <t xml:space="preserve">Policy Q&amp;A bot</t>
  </si>
  <si>
    <t xml:space="preserve"># employees</t>
  </si>
  <si>
    <t xml:space="preserve">Payroll</t>
  </si>
  <si>
    <t xml:space="preserve">Queries</t>
  </si>
  <si>
    <t xml:space="preserve">Attendance / payroll query handling</t>
  </si>
  <si>
    <t xml:space="preserve">HRMS</t>
  </si>
  <si>
    <t xml:space="preserve">Manual responses</t>
  </si>
  <si>
    <t xml:space="preserve">Query bot</t>
  </si>
  <si>
    <t xml:space="preserve">Retention</t>
  </si>
  <si>
    <t xml:space="preserve">Attrition</t>
  </si>
  <si>
    <t xml:space="preserve">Attrition prediction (high-churn roles)</t>
  </si>
  <si>
    <t xml:space="preserve">Reactive</t>
  </si>
  <si>
    <t xml:space="preserve">Attrition prediction</t>
  </si>
  <si>
    <t xml:space="preserve">Contracts</t>
  </si>
  <si>
    <t xml:space="preserve">Principal agreements</t>
  </si>
  <si>
    <t xml:space="preserve">Abstract key terms from agreements</t>
  </si>
  <si>
    <t xml:space="preserve">Buried entitlements</t>
  </si>
  <si>
    <t xml:space="preserve">Extract terms (margin/scheme/territory)</t>
  </si>
  <si>
    <t xml:space="preserve"># agreements</t>
  </si>
  <si>
    <t xml:space="preserve">Obligations</t>
  </si>
  <si>
    <t xml:space="preserve">Contract obligation tracking</t>
  </si>
  <si>
    <t xml:space="preserve">Missed obligations</t>
  </si>
  <si>
    <t xml:space="preserve">Obligation tracker</t>
  </si>
  <si>
    <t xml:space="preserve">Drafting</t>
  </si>
  <si>
    <t xml:space="preserve">Documents</t>
  </si>
  <si>
    <t xml:space="preserve">Template / clause check + notices</t>
  </si>
  <si>
    <t xml:space="preserve">Clause check + notice drafting</t>
  </si>
  <si>
    <t xml:space="preserve"># documents</t>
  </si>
  <si>
    <t xml:space="preserve">Facilities</t>
  </si>
  <si>
    <t xml:space="preserve">Vendor mgmt</t>
  </si>
  <si>
    <t xml:space="preserve">AMC / vendor invoice processing</t>
  </si>
  <si>
    <t xml:space="preserve">Manual processing</t>
  </si>
  <si>
    <t xml:space="preserve">Invoice processing</t>
  </si>
  <si>
    <t xml:space="preserve"># invoices</t>
  </si>
  <si>
    <t xml:space="preserve">AMC / contract renewal tracking</t>
  </si>
  <si>
    <t xml:space="preserve">Lapses</t>
  </si>
  <si>
    <t xml:space="preserve">Renewal tracking</t>
  </si>
  <si>
    <t xml:space="preserve">Retrieval</t>
  </si>
  <si>
    <t xml:space="preserve">Document search / retrieval</t>
  </si>
  <si>
    <t xml:space="preserve">File shares</t>
  </si>
  <si>
    <t xml:space="preserve">Slow retrieval</t>
  </si>
  <si>
    <t xml:space="preserve">Semantic document search</t>
  </si>
  <si>
    <t xml:space="preserve">doc volume</t>
  </si>
  <si>
    <t xml:space="preserve">Cross-Cutting Horizontals &amp; Themes — build once, deploy many</t>
  </si>
  <si>
    <t xml:space="preserve">A full-company sweep reveals that most non-obvious wins reduce to a few shared capabilities + one cross-departmental theme. Building these as platforms (not per-department point tools) is the difference between 30 pilots and a compounding capability.</t>
  </si>
  <si>
    <t xml:space="preserve">Theme / Horizontal</t>
  </si>
  <si>
    <t xml:space="preserve">What it is</t>
  </si>
  <si>
    <t xml:space="preserve">Functions it spans</t>
  </si>
  <si>
    <t xml:space="preserve">Why build once</t>
  </si>
  <si>
    <t xml:space="preserve">Reuse value for Iksula</t>
  </si>
  <si>
    <t xml:space="preserve">1. Unstructured Document Understanding</t>
  </si>
  <si>
    <t xml:space="preserve">One extract-validate-structure engine for any inbound document, with confidence scoring + human-in-loop review.</t>
  </si>
  <si>
    <t xml:space="preserve">Order capture; cash application; deduction triage; scheme circulars; principal price lists; vendor/principal ledgers; bank statements; GRN; POD; freight bills; CoA; AP invoices; complaint photos; contracts.</t>
  </si>
  <si>
    <t xml:space="preserve">The same pipeline (ingest -&gt; classify -&gt; extract -&gt; validate -&gt; post) recurs everywhere; only the schema and target system change. Build the core once, add document templates per use case.</t>
  </si>
  <si>
    <t xml:space="preserve">Very High — the backbone product. Most leakage-recovery and cost-to-serve wins sit on it; reusable across every vertical with new templates.</t>
  </si>
  <si>
    <t xml:space="preserve">2. Natural-Language Analytics</t>
  </si>
  <si>
    <t xml:space="preserve">A semantic layer over the warehouse so any user asks 'why did X' and gets a sourced, narrated answer.</t>
  </si>
  <si>
    <t xml:space="preserve">Sales Ops; FP&amp;A; Data/BI; GL variance; VOC mining; IT reporting; category analysis.</t>
  </si>
  <si>
    <t xml:space="preserve">One trusted semantic model + guardrails serves every department's ad-hoc and narrative analytics, removing the analyst bottleneck firm-wide.</t>
  </si>
  <si>
    <t xml:space="preserve">High — horizontal product; per-client it needs only the data model mapped. Strong cross-vertical reuse.</t>
  </si>
  <si>
    <t xml:space="preserve">3. Master-Data Spine</t>
  </si>
  <si>
    <t xml:space="preserve">Clean, deduped, classified item/customer/price/vendor master with live anomaly governance.</t>
  </si>
  <si>
    <t xml:space="preserve">Catalog/MDM; Pricing; Procurement; Planning; O2C; Ecommerce; Tax (HSN).</t>
  </si>
  <si>
    <t xml:space="preserve">Almost every other automation fails on dirty master data. Fixing the spine is the prerequisite that makes the rest reliable.</t>
  </si>
  <si>
    <t xml:space="preserve">Doc-Extraction + Semantic Search</t>
  </si>
  <si>
    <t xml:space="preserve">High — distribution-grade MDM is a repeatable offering; HSN/UOM logic reusable across India verticals.</t>
  </si>
  <si>
    <t xml:space="preserve">4. Recovery &amp; Leakage Cell (THEME)</t>
  </si>
  <si>
    <t xml:space="preserve">A single owner + tooling for every form of money owed-but-unclaimed or over-paid.</t>
  </si>
  <si>
    <t xml:space="preserve">Scheme claims; MDF/co-marketing claims; return-to-principal credits; freight overcharge; bank-charge audit; ITC recovery; early-pay discounts; margin leakage; AR deductions.</t>
  </si>
  <si>
    <t xml:space="preserve">For a thin-margin distributor this is the single highest-value theme, yet it is scattered across 6 departments with no owner. Consolidating it (org + tooling) turns scattered leaks into recovered margin.</t>
  </si>
  <si>
    <t xml:space="preserve">Doc-Extraction + NL-Analytics</t>
  </si>
  <si>
    <t xml:space="preserve">Very High — a flagship 'Recovery-as-a-Service' offering; outcome-based pricing possible (share of recovered value).</t>
  </si>
  <si>
    <t xml:space="preserve">5. Conversational / Agent Interface</t>
  </si>
  <si>
    <t xml:space="preserve">A shared WhatsApp/portal assistant layer fronting ERP + knowledge for self-service.</t>
  </si>
  <si>
    <t xml:space="preserve">Order capture; Customer Service; IT helpdesk; HR queries; warehouse SOP.</t>
  </si>
  <si>
    <t xml:space="preserve">One conversational + retrieval layer, many skills. Build the channel + retrieval once, plug in domain skills.</t>
  </si>
  <si>
    <t xml:space="preserve">High — channel infrastructure reusable across functions and verticals; differentiator is the ERP/data grounding.</t>
  </si>
  <si>
    <t xml:space="preserve">Iksula Solution Shortlist &amp; Roadmap — B2B Distribution</t>
  </si>
  <si>
    <t xml:space="preserve">Sequenced by ROI-to-effort. Phase 1 = recover cash &amp; margin (fast, high-certainty); Phase 2 = cut cost-to-serve &amp; lift revenue; Phase 3 = scale the shared horizontals. Composite shown is the indicative average of the underlying Task-Matrix rows.</t>
  </si>
  <si>
    <t xml:space="preserve">#</t>
  </si>
  <si>
    <t xml:space="preserve">Solution</t>
  </si>
  <si>
    <t xml:space="preserve">What it does</t>
  </si>
  <si>
    <t xml:space="preserve">Functions served</t>
  </si>
  <si>
    <t xml:space="preserve">Primary Value Lever</t>
  </si>
  <si>
    <t xml:space="preserve">Archetype</t>
  </si>
  <si>
    <t xml:space="preserve">Indic. Composite</t>
  </si>
  <si>
    <t xml:space="preserve">Reuse</t>
  </si>
  <si>
    <t xml:space="preserve">Phase</t>
  </si>
  <si>
    <t xml:space="preserve">Iksula rationale / GTM angle</t>
  </si>
  <si>
    <t xml:space="preserve">Scheme Claim-Leakage Engine</t>
  </si>
  <si>
    <t xml:space="preserve">Parse principal scheme circulars to structured config; auto-compute eligibility; detect unclaimed schemes; reconcile filed vs settled and chase shortfalls.</t>
  </si>
  <si>
    <t xml:space="preserve">Recon &amp; Claims; Procurement; Pricing</t>
  </si>
  <si>
    <t xml:space="preserve">CFO / Finance</t>
  </si>
  <si>
    <t xml:space="preserve">4.2</t>
  </si>
  <si>
    <t xml:space="preserve">Phase 1</t>
  </si>
  <si>
    <t xml:space="preserve">Flagship recovery product; outcome-based pricing (share of recovered claims) lands fast with the CFO.</t>
  </si>
  <si>
    <t xml:space="preserve">Intelligent Cash Application + Deduction Triage</t>
  </si>
  <si>
    <t xml:space="preserve">Parse bank statements + remittance advice; auto-allocate lump-sum receipts across invoices; classify and route short-payments with proof.</t>
  </si>
  <si>
    <t xml:space="preserve">Order-to-Cash</t>
  </si>
  <si>
    <t xml:space="preserve">4.0</t>
  </si>
  <si>
    <t xml:space="preserve">Releases working capital and cuts DSO; tangible CFO metric; reusable across verticals.</t>
  </si>
  <si>
    <t xml:space="preserve">Principal Price-List &amp; Circular Ingestion</t>
  </si>
  <si>
    <t xml:space="preserve">Parse any-format principal price lists and circulars into item + price master updates; propagate price changes automatically.</t>
  </si>
  <si>
    <t xml:space="preserve">MDM; Pricing; Category</t>
  </si>
  <si>
    <t xml:space="preserve">3.8</t>
  </si>
  <si>
    <t xml:space="preserve">Kills a huge recurring manual load and pricing errors; feeds claims &amp; MDM spine.</t>
  </si>
  <si>
    <t xml:space="preserve">Margin-Leakage Detector</t>
  </si>
  <si>
    <t xml:space="preserve">Flag below-floor sales, customers/SKUs where landed cost rose but price didn't, and dilutive accounts.</t>
  </si>
  <si>
    <t xml:space="preserve">Pricing; FP&amp;A</t>
  </si>
  <si>
    <t xml:space="preserve">3.6</t>
  </si>
  <si>
    <t xml:space="preserve">Direct margin recovery with light integration; quick proof-of-value.</t>
  </si>
  <si>
    <t xml:space="preserve">Recovery Suite (Freight / Bank-charge / ITC / RTP)</t>
  </si>
  <si>
    <t xml:space="preserve">Audit transporter &amp; bank charges vs contract; GSTR-2B vs purchase ITC matching + vendor chase; compile return-to-principal claims.</t>
  </si>
  <si>
    <t xml:space="preserve">Logistics; Treasury; Tax; Returns</t>
  </si>
  <si>
    <t xml:space="preserve">3.7</t>
  </si>
  <si>
    <t xml:space="preserve">Bundles the scattered leakage points into one 'Recovery-as-a-Service' line; high cross-vertical reuse.</t>
  </si>
  <si>
    <t xml:space="preserve">Unstructured Order Capture</t>
  </si>
  <si>
    <t xml:space="preserve">Convert WhatsApp/email/PDF/handwritten orders into structured, SKU-matched order lines.</t>
  </si>
  <si>
    <t xml:space="preserve">O2C; Field Sales; Inside Sales</t>
  </si>
  <si>
    <t xml:space="preserve">COO / Operations</t>
  </si>
  <si>
    <t xml:space="preserve">Phase 2</t>
  </si>
  <si>
    <t xml:space="preserve">Collapses order-entry effort and error-driven returns; visible to commercial + ops.</t>
  </si>
  <si>
    <t xml:space="preserve">Customer-Service Deflection Suite</t>
  </si>
  <si>
    <t xml:space="preserve">Order-status bot, 'why is my order short' explainer, complaint-from-photo intake, proactive delay alerts, VOC mining.</t>
  </si>
  <si>
    <t xml:space="preserve">Customer Service</t>
  </si>
  <si>
    <t xml:space="preserve">Cuts ticket volume and surfaces systemic issues; clean SaaS-style offering.</t>
  </si>
  <si>
    <t xml:space="preserve">Next-Best-Order + Channel-Shift</t>
  </si>
  <si>
    <t xml:space="preserve">Suggested order per outlet from history + gaps; detect offline buyers and nudge them onto the portal.</t>
  </si>
  <si>
    <t xml:space="preserve">Field/Inside Sales; Ecommerce</t>
  </si>
  <si>
    <t xml:space="preserve">CRO/CMO / Commercial</t>
  </si>
  <si>
    <t xml:space="preserve">3.9</t>
  </si>
  <si>
    <t xml:space="preserve">Lifts basket and shifts cost-to-serve down; ties to portal adoption KPIs.</t>
  </si>
  <si>
    <t xml:space="preserve">Semantic Catalog Search + Substitutes</t>
  </si>
  <si>
    <t xml:space="preserve">Semantic search over the large catalog; auto-suggest alternates for out-of-stock SKUs.</t>
  </si>
  <si>
    <t xml:space="preserve">Ecommerce; MDM</t>
  </si>
  <si>
    <t xml:space="preserve">Recovers lost portal orders; reusable catalog capability across verticals.</t>
  </si>
  <si>
    <t xml:space="preserve">Company-wide NL Analytics Layer</t>
  </si>
  <si>
    <t xml:space="preserve">Semantic layer enabling any user to ask 'why did X' with sourced, narrated answers.</t>
  </si>
  <si>
    <t xml:space="preserve">Sales Ops; FP&amp;A; Data/BI</t>
  </si>
  <si>
    <t xml:space="preserve">CIO/CDO / Tech &amp; Data</t>
  </si>
  <si>
    <t xml:space="preserve">3.4</t>
  </si>
  <si>
    <t xml:space="preserve">Phase 3</t>
  </si>
  <si>
    <t xml:space="preserve">Horizontal platform; removes analyst bottleneck firm-wide; strong reuse.</t>
  </si>
  <si>
    <t xml:space="preserve">Collections Copilot + Dynamic Credit</t>
  </si>
  <si>
    <t xml:space="preserve">Propensity-to-pay prioritisation, tailored dunning, call summaries; dynamic credit-review memos and limit recommendations.</t>
  </si>
  <si>
    <t xml:space="preserve">O2C (Collections/Credit)</t>
  </si>
  <si>
    <t xml:space="preserve">Compounds the Phase-1 cash gains; relationship-aware automation.</t>
  </si>
  <si>
    <t xml:space="preserve">MDM Spine + HSN Governance</t>
  </si>
  <si>
    <t xml:space="preserve">Dedup + GTIN cross-map, UOM/pack normalisation, HSN/tax classification, live anomaly governance.</t>
  </si>
  <si>
    <t xml:space="preserve">MDM; Tax; Procurement</t>
  </si>
  <si>
    <t xml:space="preserve">3.2</t>
  </si>
  <si>
    <t xml:space="preserve">The prerequisite that makes everything else reliable; sticky, recurring engagement.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</si>
</sst>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595959"/>
        <bgColor rgb="FF2E5496"/>
      </patternFill>
    </fill>
    <fill>
      <patternFill patternType="solid">
        <fgColor rgb="FFC6EFCE"/>
        <bgColor rgb="FFE2EFDA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8ECB7E"/>
          <bgColor rgb="FF000000"/>
        </patternFill>
      </fill>
    </dxf>
    <dxf>
      <fill>
        <patternFill patternType="solid">
          <fgColor rgb="FFAAD380"/>
          <bgColor rgb="FF000000"/>
        </patternFill>
      </fill>
    </dxf>
    <dxf>
      <fill>
        <patternFill patternType="solid">
          <fgColor rgb="FFB1D580"/>
          <bgColor rgb="FF000000"/>
        </patternFill>
      </fill>
    </dxf>
    <dxf>
      <fill>
        <patternFill patternType="solid">
          <fgColor rgb="FFC0D981"/>
          <bgColor rgb="FF000000"/>
        </patternFill>
      </fill>
    </dxf>
    <dxf>
      <fill>
        <patternFill patternType="solid">
          <fgColor rgb="FFCEDD82"/>
          <bgColor rgb="FF000000"/>
        </patternFill>
      </fill>
    </dxf>
    <dxf>
      <fill>
        <patternFill patternType="solid">
          <fgColor rgb="FFD5DF82"/>
          <bgColor rgb="FF000000"/>
        </patternFill>
      </fill>
    </dxf>
    <dxf>
      <fill>
        <patternFill patternType="solid">
          <fgColor rgb="FFE3E383"/>
          <bgColor rgb="FF000000"/>
        </patternFill>
      </fill>
    </dxf>
    <dxf>
      <fill>
        <patternFill patternType="solid">
          <fgColor rgb="FFF1E784"/>
          <bgColor rgb="FF000000"/>
        </patternFill>
      </fill>
    </dxf>
    <dxf>
      <fill>
        <patternFill patternType="solid">
          <fgColor rgb="FFF8E984"/>
          <bgColor rgb="FF000000"/>
        </patternFill>
      </fill>
    </dxf>
    <dxf>
      <fill>
        <patternFill patternType="solid">
          <fgColor rgb="FFFDD57F"/>
          <bgColor rgb="FF000000"/>
        </patternFill>
      </fill>
    </dxf>
    <dxf>
      <fill>
        <patternFill patternType="solid">
          <fgColor rgb="FFFEE38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sz val="10"/>
      </font>
      <fill>
        <patternFill>
          <bgColor rgb="FFFFEB9C"/>
        </patternFill>
      </fill>
    </dxf>
    <dxf>
      <fill>
        <patternFill patternType="solid">
          <fgColor rgb="FF2E549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5"/>
    <col collapsed="false" customWidth="true" hidden="false" outlineLevel="0" max="4" min="4" style="1" width="18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s">
        <v>2</v>
      </c>
      <c r="C5" s="5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30" hidden="false" customHeight="true" outlineLevel="0" collapsed="false">
      <c r="B7" s="4" t="s">
        <v>6</v>
      </c>
      <c r="C7" s="5" t="s">
        <v>7</v>
      </c>
    </row>
    <row r="8" customFormat="false" ht="30" hidden="false" customHeight="true" outlineLevel="0" collapsed="false">
      <c r="B8" s="4" t="s">
        <v>8</v>
      </c>
      <c r="C8" s="5" t="s">
        <v>9</v>
      </c>
    </row>
    <row r="9" customFormat="false" ht="30" hidden="false" customHeight="true" outlineLevel="0" collapsed="false">
      <c r="B9" s="4" t="s">
        <v>10</v>
      </c>
      <c r="C9" s="5" t="s">
        <v>11</v>
      </c>
    </row>
    <row r="10" customFormat="false" ht="30" hidden="false" customHeight="true" outlineLevel="0" collapsed="false">
      <c r="B10" s="4" t="s">
        <v>12</v>
      </c>
      <c r="C10" s="5" t="s">
        <v>13</v>
      </c>
    </row>
    <row r="12" customFormat="false" ht="15" hidden="false" customHeight="true" outlineLevel="0" collapsed="false">
      <c r="B12" s="6" t="s">
        <v>14</v>
      </c>
    </row>
    <row r="13" customFormat="false" ht="27.75" hidden="false" customHeight="true" outlineLevel="0" collapsed="false">
      <c r="B13" s="7" t="s">
        <v>15</v>
      </c>
      <c r="C13" s="5" t="s">
        <v>16</v>
      </c>
    </row>
    <row r="14" customFormat="false" ht="27.75" hidden="false" customHeight="true" outlineLevel="0" collapsed="false">
      <c r="B14" s="7" t="s">
        <v>17</v>
      </c>
      <c r="C14" s="5" t="s">
        <v>18</v>
      </c>
    </row>
    <row r="15" customFormat="false" ht="27.75" hidden="false" customHeight="true" outlineLevel="0" collapsed="false">
      <c r="B15" s="7" t="s">
        <v>19</v>
      </c>
      <c r="C15" s="5" t="s">
        <v>20</v>
      </c>
    </row>
    <row r="16" customFormat="false" ht="27.75" hidden="false" customHeight="true" outlineLevel="0" collapsed="false">
      <c r="B16" s="7" t="s">
        <v>21</v>
      </c>
      <c r="C16" s="5" t="s">
        <v>22</v>
      </c>
    </row>
    <row r="17" customFormat="false" ht="27.75" hidden="false" customHeight="true" outlineLevel="0" collapsed="false">
      <c r="B17" s="7" t="s">
        <v>23</v>
      </c>
      <c r="C17" s="5" t="s">
        <v>24</v>
      </c>
    </row>
    <row r="19" customFormat="false" ht="15" hidden="false" customHeight="true" outlineLevel="0" collapsed="false">
      <c r="B19" s="6" t="s">
        <v>25</v>
      </c>
    </row>
    <row r="20" customFormat="false" ht="27.75" hidden="false" customHeight="true" outlineLevel="0" collapsed="false">
      <c r="B20" s="8" t="s">
        <v>26</v>
      </c>
      <c r="C20" s="5" t="s">
        <v>27</v>
      </c>
    </row>
    <row r="21" customFormat="false" ht="27.75" hidden="false" customHeight="true" outlineLevel="0" collapsed="false">
      <c r="B21" s="8" t="s">
        <v>28</v>
      </c>
      <c r="C21" s="5" t="s">
        <v>29</v>
      </c>
    </row>
    <row r="22" customFormat="false" ht="27.75" hidden="false" customHeight="true" outlineLevel="0" collapsed="false">
      <c r="B22" s="8" t="s">
        <v>30</v>
      </c>
      <c r="C22" s="5" t="s">
        <v>31</v>
      </c>
    </row>
    <row r="23" customFormat="false" ht="27.75" hidden="false" customHeight="true" outlineLevel="0" collapsed="false">
      <c r="B23" s="8" t="s">
        <v>32</v>
      </c>
      <c r="C23" s="5" t="s">
        <v>33</v>
      </c>
    </row>
    <row r="24" customFormat="false" ht="27.75" hidden="false" customHeight="true" outlineLevel="0" collapsed="false">
      <c r="B24" s="8" t="s">
        <v>34</v>
      </c>
      <c r="C24" s="5" t="s">
        <v>35</v>
      </c>
    </row>
    <row r="25" customFormat="false" ht="27.75" hidden="false" customHeight="true" outlineLevel="0" collapsed="false">
      <c r="B25" s="8" t="s">
        <v>36</v>
      </c>
      <c r="C25" s="5" t="s">
        <v>37</v>
      </c>
    </row>
    <row r="26" customFormat="false" ht="27.75" hidden="false" customHeight="true" outlineLevel="0" collapsed="false">
      <c r="B26" s="8" t="s">
        <v>38</v>
      </c>
      <c r="C26" s="5" t="s">
        <v>39</v>
      </c>
    </row>
    <row r="27" customFormat="false" ht="27.75" hidden="false" customHeight="true" outlineLevel="0" collapsed="false">
      <c r="B27" s="8" t="s">
        <v>40</v>
      </c>
      <c r="C27" s="5" t="s">
        <v>41</v>
      </c>
    </row>
    <row r="29" customFormat="false" ht="15" hidden="false" customHeight="true" outlineLevel="0" collapsed="false">
      <c r="B29" s="6" t="s">
        <v>42</v>
      </c>
    </row>
    <row r="30" customFormat="false" ht="27.75" hidden="false" customHeight="true" outlineLevel="0" collapsed="false">
      <c r="B30" s="8" t="s">
        <v>43</v>
      </c>
      <c r="C30" s="5" t="s">
        <v>44</v>
      </c>
    </row>
    <row r="31" customFormat="false" ht="27.75" hidden="false" customHeight="true" outlineLevel="0" collapsed="false">
      <c r="B31" s="8" t="s">
        <v>45</v>
      </c>
      <c r="C31" s="5" t="s">
        <v>46</v>
      </c>
    </row>
    <row r="32" customFormat="false" ht="27.75" hidden="false" customHeight="true" outlineLevel="0" collapsed="false">
      <c r="B32" s="8" t="s">
        <v>47</v>
      </c>
      <c r="C32" s="5" t="s">
        <v>48</v>
      </c>
    </row>
    <row r="33" customFormat="false" ht="27.75" hidden="false" customHeight="true" outlineLevel="0" collapsed="false">
      <c r="B33" s="8" t="s">
        <v>49</v>
      </c>
      <c r="C33" s="5" t="s">
        <v>50</v>
      </c>
    </row>
    <row r="34" customFormat="false" ht="27.75" hidden="false" customHeight="true" outlineLevel="0" collapsed="false">
      <c r="B34" s="8" t="s">
        <v>51</v>
      </c>
      <c r="C34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</row>
    <row r="2" customFormat="false" ht="25.5" hidden="false" customHeight="true" outlineLevel="0" collapsed="false">
      <c r="A2" s="5" t="s">
        <v>58</v>
      </c>
      <c r="B2" s="9" t="s">
        <v>59</v>
      </c>
      <c r="C2" s="10" t="s">
        <v>60</v>
      </c>
      <c r="D2" s="11" t="n">
        <f aca="false">COUNTIF('Task Matrix'!B:B,B2)</f>
        <v>6</v>
      </c>
      <c r="E2" s="12" t="s">
        <v>61</v>
      </c>
    </row>
    <row r="3" customFormat="false" ht="25.5" hidden="false" customHeight="true" outlineLevel="0" collapsed="false">
      <c r="A3" s="5" t="s">
        <v>58</v>
      </c>
      <c r="B3" s="9" t="s">
        <v>62</v>
      </c>
      <c r="C3" s="10" t="s">
        <v>60</v>
      </c>
      <c r="D3" s="11" t="n">
        <f aca="false">COUNTIF('Task Matrix'!B:B,B3)</f>
        <v>4</v>
      </c>
      <c r="E3" s="12" t="s">
        <v>63</v>
      </c>
    </row>
    <row r="4" customFormat="false" ht="25.5" hidden="false" customHeight="true" outlineLevel="0" collapsed="false">
      <c r="A4" s="5" t="s">
        <v>58</v>
      </c>
      <c r="B4" s="9" t="s">
        <v>64</v>
      </c>
      <c r="C4" s="10" t="s">
        <v>60</v>
      </c>
      <c r="D4" s="11" t="n">
        <f aca="false">COUNTIF('Task Matrix'!B:B,B4)</f>
        <v>4</v>
      </c>
      <c r="E4" s="12" t="s">
        <v>65</v>
      </c>
    </row>
    <row r="5" customFormat="false" ht="25.5" hidden="false" customHeight="true" outlineLevel="0" collapsed="false">
      <c r="A5" s="5" t="s">
        <v>58</v>
      </c>
      <c r="B5" s="9" t="s">
        <v>66</v>
      </c>
      <c r="C5" s="10" t="s">
        <v>60</v>
      </c>
      <c r="D5" s="11" t="n">
        <f aca="false">COUNTIF('Task Matrix'!B:B,B5)</f>
        <v>4</v>
      </c>
      <c r="E5" s="12" t="s">
        <v>67</v>
      </c>
    </row>
    <row r="6" customFormat="false" ht="25.5" hidden="false" customHeight="true" outlineLevel="0" collapsed="false">
      <c r="A6" s="5" t="s">
        <v>58</v>
      </c>
      <c r="B6" s="9" t="s">
        <v>68</v>
      </c>
      <c r="C6" s="10" t="s">
        <v>60</v>
      </c>
      <c r="D6" s="11" t="n">
        <f aca="false">COUNTIF('Task Matrix'!B:B,B6)</f>
        <v>4</v>
      </c>
      <c r="E6" s="12" t="s">
        <v>69</v>
      </c>
    </row>
    <row r="7" customFormat="false" ht="25.5" hidden="false" customHeight="true" outlineLevel="0" collapsed="false">
      <c r="A7" s="5" t="s">
        <v>58</v>
      </c>
      <c r="B7" s="9" t="s">
        <v>70</v>
      </c>
      <c r="C7" s="10" t="s">
        <v>60</v>
      </c>
      <c r="D7" s="11" t="n">
        <f aca="false">COUNTIF('Task Matrix'!B:B,B7)</f>
        <v>4</v>
      </c>
      <c r="E7" s="12" t="s">
        <v>71</v>
      </c>
    </row>
    <row r="8" customFormat="false" ht="25.5" hidden="false" customHeight="true" outlineLevel="0" collapsed="false">
      <c r="A8" s="5" t="s">
        <v>58</v>
      </c>
      <c r="B8" s="9" t="s">
        <v>72</v>
      </c>
      <c r="C8" s="10" t="s">
        <v>60</v>
      </c>
      <c r="D8" s="11" t="n">
        <f aca="false">COUNTIF('Task Matrix'!B:B,B8)</f>
        <v>3</v>
      </c>
      <c r="E8" s="12" t="s">
        <v>73</v>
      </c>
    </row>
    <row r="9" customFormat="false" ht="25.5" hidden="false" customHeight="true" outlineLevel="0" collapsed="false">
      <c r="A9" s="5" t="s">
        <v>58</v>
      </c>
      <c r="B9" s="9" t="s">
        <v>74</v>
      </c>
      <c r="C9" s="10" t="s">
        <v>60</v>
      </c>
      <c r="D9" s="11" t="n">
        <f aca="false">COUNTIF('Task Matrix'!B:B,B9)</f>
        <v>4</v>
      </c>
      <c r="E9" s="12" t="s">
        <v>75</v>
      </c>
    </row>
    <row r="10" customFormat="false" ht="25.5" hidden="false" customHeight="true" outlineLevel="0" collapsed="false">
      <c r="A10" s="5" t="s">
        <v>58</v>
      </c>
      <c r="B10" s="9" t="s">
        <v>76</v>
      </c>
      <c r="C10" s="10" t="s">
        <v>60</v>
      </c>
      <c r="D10" s="11" t="n">
        <f aca="false">COUNTIF('Task Matrix'!B:B,B10)</f>
        <v>7</v>
      </c>
      <c r="E10" s="12" t="s">
        <v>77</v>
      </c>
    </row>
    <row r="11" customFormat="false" ht="25.5" hidden="false" customHeight="true" outlineLevel="0" collapsed="false">
      <c r="A11" s="5" t="s">
        <v>78</v>
      </c>
      <c r="B11" s="9" t="s">
        <v>79</v>
      </c>
      <c r="C11" s="10" t="s">
        <v>60</v>
      </c>
      <c r="D11" s="11" t="n">
        <f aca="false">COUNTIF('Task Matrix'!B:B,B11)</f>
        <v>4</v>
      </c>
      <c r="E11" s="12" t="s">
        <v>80</v>
      </c>
    </row>
    <row r="12" customFormat="false" ht="25.5" hidden="false" customHeight="true" outlineLevel="0" collapsed="false">
      <c r="A12" s="5" t="s">
        <v>78</v>
      </c>
      <c r="B12" s="9" t="s">
        <v>81</v>
      </c>
      <c r="C12" s="10" t="s">
        <v>60</v>
      </c>
      <c r="D12" s="11" t="n">
        <f aca="false">COUNTIF('Task Matrix'!B:B,B12)</f>
        <v>5</v>
      </c>
      <c r="E12" s="12" t="s">
        <v>82</v>
      </c>
    </row>
    <row r="13" customFormat="false" ht="25.5" hidden="false" customHeight="true" outlineLevel="0" collapsed="false">
      <c r="A13" s="5" t="s">
        <v>78</v>
      </c>
      <c r="B13" s="9" t="s">
        <v>83</v>
      </c>
      <c r="C13" s="10" t="s">
        <v>60</v>
      </c>
      <c r="D13" s="11" t="n">
        <f aca="false">COUNTIF('Task Matrix'!B:B,B13)</f>
        <v>4</v>
      </c>
      <c r="E13" s="12" t="s">
        <v>84</v>
      </c>
    </row>
    <row r="14" customFormat="false" ht="25.5" hidden="false" customHeight="true" outlineLevel="0" collapsed="false">
      <c r="A14" s="5" t="s">
        <v>78</v>
      </c>
      <c r="B14" s="9" t="s">
        <v>85</v>
      </c>
      <c r="C14" s="10" t="s">
        <v>60</v>
      </c>
      <c r="D14" s="11" t="n">
        <f aca="false">COUNTIF('Task Matrix'!B:B,B14)</f>
        <v>4</v>
      </c>
      <c r="E14" s="12" t="s">
        <v>86</v>
      </c>
    </row>
    <row r="15" customFormat="false" ht="25.5" hidden="false" customHeight="true" outlineLevel="0" collapsed="false">
      <c r="A15" s="5" t="s">
        <v>78</v>
      </c>
      <c r="B15" s="9" t="s">
        <v>87</v>
      </c>
      <c r="C15" s="10" t="s">
        <v>60</v>
      </c>
      <c r="D15" s="11" t="n">
        <f aca="false">COUNTIF('Task Matrix'!B:B,B15)</f>
        <v>4</v>
      </c>
      <c r="E15" s="12" t="s">
        <v>88</v>
      </c>
    </row>
    <row r="16" customFormat="false" ht="25.5" hidden="false" customHeight="true" outlineLevel="0" collapsed="false">
      <c r="A16" s="5" t="s">
        <v>78</v>
      </c>
      <c r="B16" s="9" t="s">
        <v>89</v>
      </c>
      <c r="C16" s="10" t="s">
        <v>60</v>
      </c>
      <c r="D16" s="11" t="n">
        <f aca="false">COUNTIF('Task Matrix'!B:B,B16)</f>
        <v>5</v>
      </c>
      <c r="E16" s="12" t="s">
        <v>90</v>
      </c>
    </row>
    <row r="17" customFormat="false" ht="25.5" hidden="false" customHeight="true" outlineLevel="0" collapsed="false">
      <c r="A17" s="5" t="s">
        <v>91</v>
      </c>
      <c r="B17" s="9" t="s">
        <v>92</v>
      </c>
      <c r="C17" s="10" t="s">
        <v>60</v>
      </c>
      <c r="D17" s="11" t="n">
        <f aca="false">COUNTIF('Task Matrix'!B:B,B17)</f>
        <v>6</v>
      </c>
      <c r="E17" s="12" t="s">
        <v>93</v>
      </c>
    </row>
    <row r="18" customFormat="false" ht="25.5" hidden="false" customHeight="true" outlineLevel="0" collapsed="false">
      <c r="A18" s="5" t="s">
        <v>91</v>
      </c>
      <c r="B18" s="9" t="s">
        <v>94</v>
      </c>
      <c r="C18" s="10" t="s">
        <v>60</v>
      </c>
      <c r="D18" s="11" t="n">
        <f aca="false">COUNTIF('Task Matrix'!B:B,B18)</f>
        <v>6</v>
      </c>
      <c r="E18" s="12" t="s">
        <v>95</v>
      </c>
    </row>
    <row r="19" customFormat="false" ht="25.5" hidden="false" customHeight="true" outlineLevel="0" collapsed="false">
      <c r="A19" s="5" t="s">
        <v>91</v>
      </c>
      <c r="B19" s="9" t="s">
        <v>96</v>
      </c>
      <c r="C19" s="10" t="s">
        <v>60</v>
      </c>
      <c r="D19" s="11" t="n">
        <f aca="false">COUNTIF('Task Matrix'!B:B,B19)</f>
        <v>3</v>
      </c>
      <c r="E19" s="12" t="s">
        <v>97</v>
      </c>
    </row>
    <row r="20" customFormat="false" ht="25.5" hidden="false" customHeight="true" outlineLevel="0" collapsed="false">
      <c r="A20" s="5" t="s">
        <v>91</v>
      </c>
      <c r="B20" s="9" t="s">
        <v>98</v>
      </c>
      <c r="C20" s="10" t="s">
        <v>60</v>
      </c>
      <c r="D20" s="11" t="n">
        <f aca="false">COUNTIF('Task Matrix'!B:B,B20)</f>
        <v>3</v>
      </c>
      <c r="E20" s="12" t="s">
        <v>99</v>
      </c>
    </row>
    <row r="21" customFormat="false" ht="25.5" hidden="false" customHeight="true" outlineLevel="0" collapsed="false">
      <c r="A21" s="5" t="s">
        <v>91</v>
      </c>
      <c r="B21" s="9" t="s">
        <v>100</v>
      </c>
      <c r="C21" s="10" t="s">
        <v>60</v>
      </c>
      <c r="D21" s="11" t="n">
        <f aca="false">COUNTIF('Task Matrix'!B:B,B21)</f>
        <v>3</v>
      </c>
      <c r="E21" s="12" t="s">
        <v>101</v>
      </c>
    </row>
    <row r="22" customFormat="false" ht="25.5" hidden="false" customHeight="true" outlineLevel="0" collapsed="false">
      <c r="A22" s="5" t="s">
        <v>91</v>
      </c>
      <c r="B22" s="9" t="s">
        <v>102</v>
      </c>
      <c r="C22" s="10" t="s">
        <v>60</v>
      </c>
      <c r="D22" s="11" t="n">
        <f aca="false">COUNTIF('Task Matrix'!B:B,B22)</f>
        <v>3</v>
      </c>
      <c r="E22" s="12" t="s">
        <v>103</v>
      </c>
    </row>
    <row r="23" customFormat="false" ht="25.5" hidden="false" customHeight="true" outlineLevel="0" collapsed="false">
      <c r="A23" s="5" t="s">
        <v>91</v>
      </c>
      <c r="B23" s="9" t="s">
        <v>104</v>
      </c>
      <c r="C23" s="10" t="s">
        <v>60</v>
      </c>
      <c r="D23" s="11" t="n">
        <f aca="false">COUNTIF('Task Matrix'!B:B,B23)</f>
        <v>3</v>
      </c>
      <c r="E23" s="12" t="s">
        <v>105</v>
      </c>
    </row>
    <row r="24" customFormat="false" ht="25.5" hidden="false" customHeight="true" outlineLevel="0" collapsed="false">
      <c r="A24" s="5" t="s">
        <v>106</v>
      </c>
      <c r="B24" s="9" t="s">
        <v>107</v>
      </c>
      <c r="C24" s="10" t="s">
        <v>60</v>
      </c>
      <c r="D24" s="11" t="n">
        <f aca="false">COUNTIF('Task Matrix'!B:B,B24)</f>
        <v>7</v>
      </c>
      <c r="E24" s="12" t="s">
        <v>108</v>
      </c>
    </row>
    <row r="25" customFormat="false" ht="25.5" hidden="false" customHeight="true" outlineLevel="0" collapsed="false">
      <c r="A25" s="5" t="s">
        <v>106</v>
      </c>
      <c r="B25" s="9" t="s">
        <v>109</v>
      </c>
      <c r="C25" s="10" t="s">
        <v>60</v>
      </c>
      <c r="D25" s="11" t="n">
        <f aca="false">COUNTIF('Task Matrix'!B:B,B25)</f>
        <v>4</v>
      </c>
      <c r="E25" s="12" t="s">
        <v>110</v>
      </c>
    </row>
    <row r="26" customFormat="false" ht="25.5" hidden="false" customHeight="true" outlineLevel="0" collapsed="false">
      <c r="A26" s="5" t="s">
        <v>106</v>
      </c>
      <c r="B26" s="9" t="s">
        <v>111</v>
      </c>
      <c r="C26" s="10" t="s">
        <v>60</v>
      </c>
      <c r="D26" s="11" t="n">
        <f aca="false">COUNTIF('Task Matrix'!B:B,B26)</f>
        <v>3</v>
      </c>
      <c r="E26" s="12" t="s">
        <v>112</v>
      </c>
    </row>
    <row r="27" customFormat="false" ht="25.5" hidden="false" customHeight="true" outlineLevel="0" collapsed="false">
      <c r="A27" s="5" t="s">
        <v>106</v>
      </c>
      <c r="B27" s="9" t="s">
        <v>113</v>
      </c>
      <c r="C27" s="10" t="s">
        <v>60</v>
      </c>
      <c r="D27" s="11" t="n">
        <f aca="false">COUNTIF('Task Matrix'!B:B,B27)</f>
        <v>4</v>
      </c>
      <c r="E27" s="12" t="s">
        <v>114</v>
      </c>
    </row>
    <row r="28" customFormat="false" ht="25.5" hidden="false" customHeight="true" outlineLevel="0" collapsed="false">
      <c r="A28" s="5" t="s">
        <v>106</v>
      </c>
      <c r="B28" s="9" t="s">
        <v>115</v>
      </c>
      <c r="C28" s="10" t="s">
        <v>60</v>
      </c>
      <c r="D28" s="11" t="n">
        <f aca="false">COUNTIF('Task Matrix'!B:B,B28)</f>
        <v>3</v>
      </c>
      <c r="E28" s="12" t="s">
        <v>116</v>
      </c>
    </row>
    <row r="29" customFormat="false" ht="25.5" hidden="false" customHeight="true" outlineLevel="0" collapsed="false">
      <c r="A29" s="5" t="s">
        <v>106</v>
      </c>
      <c r="B29" s="9" t="s">
        <v>117</v>
      </c>
      <c r="C29" s="10" t="s">
        <v>60</v>
      </c>
      <c r="D29" s="11" t="n">
        <f aca="false">COUNTIF('Task Matrix'!B:B,B29)</f>
        <v>3</v>
      </c>
      <c r="E29" s="12" t="s">
        <v>118</v>
      </c>
    </row>
    <row r="30" customFormat="false" ht="15" hidden="false" customHeight="true" outlineLevel="0" collapsed="false">
      <c r="B30" s="13" t="s">
        <v>119</v>
      </c>
      <c r="D30" s="14" t="n">
        <f aca="false">SUM(D2:D29)</f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38"/>
    <col collapsed="false" customWidth="true" hidden="false" outlineLevel="0" max="6" min="6" style="1" width="70"/>
  </cols>
  <sheetData>
    <row r="1" customFormat="false" ht="15" hidden="false" customHeight="true" outlineLevel="0" collapsed="false">
      <c r="A1" s="4" t="s">
        <v>53</v>
      </c>
      <c r="B1" s="4" t="s">
        <v>54</v>
      </c>
      <c r="C1" s="4" t="s">
        <v>120</v>
      </c>
      <c r="D1" s="4" t="s">
        <v>121</v>
      </c>
      <c r="E1" s="4" t="s">
        <v>122</v>
      </c>
      <c r="F1" s="4" t="s">
        <v>123</v>
      </c>
    </row>
    <row r="2" customFormat="false" ht="96" hidden="false" customHeight="true" outlineLevel="0" collapsed="false">
      <c r="A2" s="15" t="s">
        <v>58</v>
      </c>
      <c r="B2" s="16" t="s">
        <v>59</v>
      </c>
      <c r="C2" s="17" t="s">
        <v>124</v>
      </c>
      <c r="D2" s="17" t="s">
        <v>125</v>
      </c>
      <c r="E2" s="18" t="s">
        <v>126</v>
      </c>
      <c r="F2" s="17" t="s">
        <v>127</v>
      </c>
    </row>
    <row r="3" customFormat="false" ht="96" hidden="false" customHeight="true" outlineLevel="0" collapsed="false">
      <c r="A3" s="15" t="s">
        <v>58</v>
      </c>
      <c r="B3" s="16" t="s">
        <v>62</v>
      </c>
      <c r="C3" s="17" t="s">
        <v>128</v>
      </c>
      <c r="D3" s="17" t="s">
        <v>129</v>
      </c>
      <c r="E3" s="18" t="s">
        <v>130</v>
      </c>
      <c r="F3" s="17" t="s">
        <v>131</v>
      </c>
    </row>
    <row r="4" customFormat="false" ht="96" hidden="false" customHeight="true" outlineLevel="0" collapsed="false">
      <c r="A4" s="15" t="s">
        <v>58</v>
      </c>
      <c r="B4" s="16" t="s">
        <v>64</v>
      </c>
      <c r="C4" s="17" t="s">
        <v>132</v>
      </c>
      <c r="D4" s="17" t="s">
        <v>133</v>
      </c>
      <c r="E4" s="18" t="s">
        <v>134</v>
      </c>
      <c r="F4" s="17" t="s">
        <v>135</v>
      </c>
    </row>
    <row r="5" customFormat="false" ht="96" hidden="false" customHeight="true" outlineLevel="0" collapsed="false">
      <c r="A5" s="15" t="s">
        <v>58</v>
      </c>
      <c r="B5" s="16" t="s">
        <v>66</v>
      </c>
      <c r="C5" s="17" t="s">
        <v>136</v>
      </c>
      <c r="D5" s="17" t="s">
        <v>137</v>
      </c>
      <c r="E5" s="18" t="s">
        <v>138</v>
      </c>
      <c r="F5" s="17" t="s">
        <v>139</v>
      </c>
    </row>
    <row r="6" customFormat="false" ht="96" hidden="false" customHeight="true" outlineLevel="0" collapsed="false">
      <c r="A6" s="15" t="s">
        <v>58</v>
      </c>
      <c r="B6" s="16" t="s">
        <v>68</v>
      </c>
      <c r="C6" s="17" t="s">
        <v>140</v>
      </c>
      <c r="D6" s="17" t="s">
        <v>141</v>
      </c>
      <c r="E6" s="18" t="s">
        <v>142</v>
      </c>
      <c r="F6" s="17" t="s">
        <v>143</v>
      </c>
    </row>
    <row r="7" customFormat="false" ht="96" hidden="false" customHeight="true" outlineLevel="0" collapsed="false">
      <c r="A7" s="15" t="s">
        <v>58</v>
      </c>
      <c r="B7" s="16" t="s">
        <v>70</v>
      </c>
      <c r="C7" s="17" t="s">
        <v>144</v>
      </c>
      <c r="D7" s="17" t="s">
        <v>145</v>
      </c>
      <c r="E7" s="18" t="s">
        <v>146</v>
      </c>
      <c r="F7" s="17" t="s">
        <v>147</v>
      </c>
    </row>
    <row r="8" customFormat="false" ht="96" hidden="false" customHeight="true" outlineLevel="0" collapsed="false">
      <c r="A8" s="15" t="s">
        <v>58</v>
      </c>
      <c r="B8" s="16" t="s">
        <v>72</v>
      </c>
      <c r="C8" s="17" t="s">
        <v>148</v>
      </c>
      <c r="D8" s="17" t="s">
        <v>149</v>
      </c>
      <c r="E8" s="18" t="s">
        <v>150</v>
      </c>
      <c r="F8" s="17" t="s">
        <v>151</v>
      </c>
    </row>
    <row r="9" customFormat="false" ht="96" hidden="false" customHeight="true" outlineLevel="0" collapsed="false">
      <c r="A9" s="15" t="s">
        <v>58</v>
      </c>
      <c r="B9" s="16" t="s">
        <v>74</v>
      </c>
      <c r="C9" s="17" t="s">
        <v>152</v>
      </c>
      <c r="D9" s="17" t="s">
        <v>153</v>
      </c>
      <c r="E9" s="18" t="s">
        <v>154</v>
      </c>
      <c r="F9" s="17" t="s">
        <v>155</v>
      </c>
    </row>
    <row r="10" customFormat="false" ht="96" hidden="false" customHeight="true" outlineLevel="0" collapsed="false">
      <c r="A10" s="15" t="s">
        <v>58</v>
      </c>
      <c r="B10" s="16" t="s">
        <v>76</v>
      </c>
      <c r="C10" s="17" t="s">
        <v>156</v>
      </c>
      <c r="D10" s="17" t="s">
        <v>157</v>
      </c>
      <c r="E10" s="18" t="s">
        <v>158</v>
      </c>
      <c r="F10" s="17" t="s">
        <v>159</v>
      </c>
    </row>
    <row r="11" customFormat="false" ht="96" hidden="false" customHeight="true" outlineLevel="0" collapsed="false">
      <c r="A11" s="19" t="s">
        <v>78</v>
      </c>
      <c r="B11" s="20" t="s">
        <v>79</v>
      </c>
      <c r="C11" s="17" t="s">
        <v>160</v>
      </c>
      <c r="D11" s="17" t="s">
        <v>161</v>
      </c>
      <c r="E11" s="18" t="s">
        <v>162</v>
      </c>
      <c r="F11" s="17" t="s">
        <v>163</v>
      </c>
    </row>
    <row r="12" customFormat="false" ht="96" hidden="false" customHeight="true" outlineLevel="0" collapsed="false">
      <c r="A12" s="19" t="s">
        <v>78</v>
      </c>
      <c r="B12" s="20" t="s">
        <v>81</v>
      </c>
      <c r="C12" s="17" t="s">
        <v>164</v>
      </c>
      <c r="D12" s="17" t="s">
        <v>165</v>
      </c>
      <c r="E12" s="18" t="s">
        <v>166</v>
      </c>
      <c r="F12" s="17" t="s">
        <v>167</v>
      </c>
    </row>
    <row r="13" customFormat="false" ht="96" hidden="false" customHeight="true" outlineLevel="0" collapsed="false">
      <c r="A13" s="19" t="s">
        <v>78</v>
      </c>
      <c r="B13" s="20" t="s">
        <v>83</v>
      </c>
      <c r="C13" s="17" t="s">
        <v>168</v>
      </c>
      <c r="D13" s="17" t="s">
        <v>169</v>
      </c>
      <c r="E13" s="18" t="s">
        <v>170</v>
      </c>
      <c r="F13" s="17" t="s">
        <v>171</v>
      </c>
    </row>
    <row r="14" customFormat="false" ht="96" hidden="false" customHeight="true" outlineLevel="0" collapsed="false">
      <c r="A14" s="19" t="s">
        <v>78</v>
      </c>
      <c r="B14" s="20" t="s">
        <v>85</v>
      </c>
      <c r="C14" s="17" t="s">
        <v>172</v>
      </c>
      <c r="D14" s="17" t="s">
        <v>173</v>
      </c>
      <c r="E14" s="18" t="s">
        <v>174</v>
      </c>
      <c r="F14" s="17" t="s">
        <v>175</v>
      </c>
    </row>
    <row r="15" customFormat="false" ht="96" hidden="false" customHeight="true" outlineLevel="0" collapsed="false">
      <c r="A15" s="19" t="s">
        <v>78</v>
      </c>
      <c r="B15" s="20" t="s">
        <v>87</v>
      </c>
      <c r="C15" s="17" t="s">
        <v>176</v>
      </c>
      <c r="D15" s="17" t="s">
        <v>161</v>
      </c>
      <c r="E15" s="18" t="s">
        <v>177</v>
      </c>
      <c r="F15" s="17" t="s">
        <v>178</v>
      </c>
    </row>
    <row r="16" customFormat="false" ht="96" hidden="false" customHeight="true" outlineLevel="0" collapsed="false">
      <c r="A16" s="19" t="s">
        <v>78</v>
      </c>
      <c r="B16" s="20" t="s">
        <v>89</v>
      </c>
      <c r="C16" s="17" t="s">
        <v>179</v>
      </c>
      <c r="D16" s="17" t="s">
        <v>180</v>
      </c>
      <c r="E16" s="18" t="s">
        <v>181</v>
      </c>
      <c r="F16" s="17" t="s">
        <v>182</v>
      </c>
    </row>
    <row r="17" customFormat="false" ht="96" hidden="false" customHeight="true" outlineLevel="0" collapsed="false">
      <c r="A17" s="21" t="s">
        <v>91</v>
      </c>
      <c r="B17" s="22" t="s">
        <v>92</v>
      </c>
      <c r="C17" s="17" t="s">
        <v>183</v>
      </c>
      <c r="D17" s="17" t="s">
        <v>184</v>
      </c>
      <c r="E17" s="18" t="s">
        <v>185</v>
      </c>
      <c r="F17" s="17" t="s">
        <v>186</v>
      </c>
    </row>
    <row r="18" customFormat="false" ht="96" hidden="false" customHeight="true" outlineLevel="0" collapsed="false">
      <c r="A18" s="21" t="s">
        <v>91</v>
      </c>
      <c r="B18" s="22" t="s">
        <v>94</v>
      </c>
      <c r="C18" s="17" t="s">
        <v>187</v>
      </c>
      <c r="D18" s="17" t="s">
        <v>188</v>
      </c>
      <c r="E18" s="18" t="s">
        <v>189</v>
      </c>
      <c r="F18" s="17" t="s">
        <v>190</v>
      </c>
    </row>
    <row r="19" customFormat="false" ht="96" hidden="false" customHeight="true" outlineLevel="0" collapsed="false">
      <c r="A19" s="21" t="s">
        <v>91</v>
      </c>
      <c r="B19" s="22" t="s">
        <v>96</v>
      </c>
      <c r="C19" s="17" t="s">
        <v>191</v>
      </c>
      <c r="D19" s="17" t="s">
        <v>161</v>
      </c>
      <c r="E19" s="18" t="s">
        <v>192</v>
      </c>
      <c r="F19" s="17" t="s">
        <v>193</v>
      </c>
    </row>
    <row r="20" customFormat="false" ht="96" hidden="false" customHeight="true" outlineLevel="0" collapsed="false">
      <c r="A20" s="21" t="s">
        <v>91</v>
      </c>
      <c r="B20" s="22" t="s">
        <v>98</v>
      </c>
      <c r="C20" s="17" t="s">
        <v>194</v>
      </c>
      <c r="D20" s="17" t="s">
        <v>149</v>
      </c>
      <c r="E20" s="18" t="s">
        <v>195</v>
      </c>
      <c r="F20" s="17" t="s">
        <v>196</v>
      </c>
    </row>
    <row r="21" customFormat="false" ht="96" hidden="false" customHeight="true" outlineLevel="0" collapsed="false">
      <c r="A21" s="21" t="s">
        <v>91</v>
      </c>
      <c r="B21" s="22" t="s">
        <v>100</v>
      </c>
      <c r="C21" s="17" t="s">
        <v>197</v>
      </c>
      <c r="D21" s="17" t="s">
        <v>198</v>
      </c>
      <c r="E21" s="18" t="s">
        <v>199</v>
      </c>
      <c r="F21" s="17" t="s">
        <v>200</v>
      </c>
    </row>
    <row r="22" customFormat="false" ht="96" hidden="false" customHeight="true" outlineLevel="0" collapsed="false">
      <c r="A22" s="21" t="s">
        <v>91</v>
      </c>
      <c r="B22" s="22" t="s">
        <v>102</v>
      </c>
      <c r="C22" s="17" t="s">
        <v>201</v>
      </c>
      <c r="D22" s="17" t="s">
        <v>202</v>
      </c>
      <c r="E22" s="18" t="s">
        <v>203</v>
      </c>
      <c r="F22" s="17" t="s">
        <v>204</v>
      </c>
    </row>
    <row r="23" customFormat="false" ht="96" hidden="false" customHeight="true" outlineLevel="0" collapsed="false">
      <c r="A23" s="21" t="s">
        <v>91</v>
      </c>
      <c r="B23" s="22" t="s">
        <v>104</v>
      </c>
      <c r="C23" s="17" t="s">
        <v>205</v>
      </c>
      <c r="D23" s="17" t="s">
        <v>206</v>
      </c>
      <c r="E23" s="18" t="s">
        <v>207</v>
      </c>
      <c r="F23" s="17" t="s">
        <v>208</v>
      </c>
    </row>
    <row r="24" customFormat="false" ht="96" hidden="false" customHeight="true" outlineLevel="0" collapsed="false">
      <c r="A24" s="23" t="s">
        <v>106</v>
      </c>
      <c r="B24" s="24" t="s">
        <v>107</v>
      </c>
      <c r="C24" s="17" t="s">
        <v>209</v>
      </c>
      <c r="D24" s="17" t="s">
        <v>210</v>
      </c>
      <c r="E24" s="18" t="s">
        <v>211</v>
      </c>
      <c r="F24" s="17" t="s">
        <v>212</v>
      </c>
    </row>
    <row r="25" customFormat="false" ht="96" hidden="false" customHeight="true" outlineLevel="0" collapsed="false">
      <c r="A25" s="23" t="s">
        <v>106</v>
      </c>
      <c r="B25" s="24" t="s">
        <v>109</v>
      </c>
      <c r="C25" s="17" t="s">
        <v>213</v>
      </c>
      <c r="D25" s="17" t="s">
        <v>214</v>
      </c>
      <c r="E25" s="18" t="s">
        <v>215</v>
      </c>
      <c r="F25" s="17" t="s">
        <v>216</v>
      </c>
    </row>
    <row r="26" customFormat="false" ht="96" hidden="false" customHeight="true" outlineLevel="0" collapsed="false">
      <c r="A26" s="23" t="s">
        <v>106</v>
      </c>
      <c r="B26" s="24" t="s">
        <v>111</v>
      </c>
      <c r="C26" s="17" t="s">
        <v>217</v>
      </c>
      <c r="D26" s="17" t="s">
        <v>218</v>
      </c>
      <c r="E26" s="18" t="s">
        <v>219</v>
      </c>
      <c r="F26" s="17" t="s">
        <v>220</v>
      </c>
    </row>
    <row r="27" customFormat="false" ht="96" hidden="false" customHeight="true" outlineLevel="0" collapsed="false">
      <c r="A27" s="23" t="s">
        <v>106</v>
      </c>
      <c r="B27" s="24" t="s">
        <v>113</v>
      </c>
      <c r="C27" s="17" t="s">
        <v>221</v>
      </c>
      <c r="D27" s="17" t="s">
        <v>222</v>
      </c>
      <c r="E27" s="18" t="s">
        <v>223</v>
      </c>
      <c r="F27" s="17" t="s">
        <v>224</v>
      </c>
    </row>
    <row r="28" customFormat="false" ht="96" hidden="false" customHeight="true" outlineLevel="0" collapsed="false">
      <c r="A28" s="23" t="s">
        <v>106</v>
      </c>
      <c r="B28" s="24" t="s">
        <v>115</v>
      </c>
      <c r="C28" s="17" t="s">
        <v>225</v>
      </c>
      <c r="D28" s="17" t="s">
        <v>226</v>
      </c>
      <c r="E28" s="18" t="s">
        <v>227</v>
      </c>
      <c r="F28" s="17" t="s">
        <v>228</v>
      </c>
    </row>
    <row r="29" customFormat="false" ht="96" hidden="false" customHeight="true" outlineLevel="0" collapsed="false">
      <c r="A29" s="23" t="s">
        <v>106</v>
      </c>
      <c r="B29" s="24" t="s">
        <v>117</v>
      </c>
      <c r="C29" s="17" t="s">
        <v>229</v>
      </c>
      <c r="D29" s="17" t="s">
        <v>230</v>
      </c>
      <c r="E29" s="18" t="s">
        <v>231</v>
      </c>
      <c r="F29" s="17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4" min="3" style="1" width="20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34"/>
    <col collapsed="false" customWidth="true" hidden="false" outlineLevel="0" max="8" min="8" style="1" width="40"/>
    <col collapsed="false" customWidth="true" hidden="false" outlineLevel="0" max="9" min="9" style="1" width="13"/>
    <col collapsed="false" customWidth="true" hidden="false" outlineLevel="0" max="10" min="10" style="1" width="20"/>
    <col collapsed="false" customWidth="true" hidden="false" outlineLevel="0" max="11" min="11" style="1" width="15"/>
    <col collapsed="false" customWidth="true" hidden="false" outlineLevel="0" max="12" min="12" style="1" width="26"/>
    <col collapsed="false" customWidth="true" hidden="false" outlineLevel="0" max="13" min="13" style="1" width="8"/>
    <col collapsed="false" customWidth="true" hidden="false" outlineLevel="0" max="15" min="14" style="1" width="9"/>
    <col collapsed="false" customWidth="true" hidden="false" outlineLevel="0" max="17" min="16" style="1" width="10"/>
    <col collapsed="false" customWidth="true" hidden="false" outlineLevel="0" max="18" min="18" style="1" width="11"/>
    <col collapsed="false" customWidth="true" hidden="false" outlineLevel="0" max="20" min="19" style="1" width="9"/>
    <col collapsed="false" customWidth="true" hidden="false" outlineLevel="0" max="21" min="21" style="1" width="11"/>
    <col collapsed="false" customWidth="true" hidden="false" outlineLevel="0" max="22" min="22" style="1" width="13"/>
    <col collapsed="false" customWidth="true" hidden="false" outlineLevel="0" max="23" min="23" style="1" width="22"/>
  </cols>
  <sheetData>
    <row r="1" customFormat="false" ht="39.75" hidden="false" customHeight="true" outlineLevel="0" collapsed="false">
      <c r="A1" s="25" t="s">
        <v>53</v>
      </c>
      <c r="B1" s="25" t="s">
        <v>54</v>
      </c>
      <c r="C1" s="25" t="s">
        <v>233</v>
      </c>
      <c r="D1" s="25" t="s">
        <v>234</v>
      </c>
      <c r="E1" s="25" t="s">
        <v>235</v>
      </c>
      <c r="F1" s="25" t="s">
        <v>236</v>
      </c>
      <c r="G1" s="25" t="s">
        <v>237</v>
      </c>
      <c r="H1" s="25" t="s">
        <v>238</v>
      </c>
      <c r="I1" s="25" t="s">
        <v>239</v>
      </c>
      <c r="J1" s="25" t="s">
        <v>43</v>
      </c>
      <c r="K1" s="25" t="s">
        <v>45</v>
      </c>
      <c r="L1" s="25" t="s">
        <v>240</v>
      </c>
      <c r="M1" s="25" t="s">
        <v>26</v>
      </c>
      <c r="N1" s="25" t="s">
        <v>28</v>
      </c>
      <c r="O1" s="25" t="s">
        <v>30</v>
      </c>
      <c r="P1" s="25" t="s">
        <v>32</v>
      </c>
      <c r="Q1" s="25" t="s">
        <v>241</v>
      </c>
      <c r="R1" s="25" t="s">
        <v>242</v>
      </c>
      <c r="S1" s="25" t="s">
        <v>243</v>
      </c>
      <c r="T1" s="25" t="s">
        <v>244</v>
      </c>
      <c r="U1" s="25" t="s">
        <v>47</v>
      </c>
      <c r="V1" s="25" t="s">
        <v>49</v>
      </c>
      <c r="W1" s="25" t="s">
        <v>245</v>
      </c>
    </row>
    <row r="2" customFormat="false" ht="42" hidden="false" customHeight="true" outlineLevel="0" collapsed="false">
      <c r="A2" s="15" t="s">
        <v>58</v>
      </c>
      <c r="B2" s="16" t="s">
        <v>59</v>
      </c>
      <c r="C2" s="17" t="s">
        <v>246</v>
      </c>
      <c r="D2" s="17" t="s">
        <v>247</v>
      </c>
      <c r="E2" s="26" t="s">
        <v>248</v>
      </c>
      <c r="F2" s="17" t="s">
        <v>249</v>
      </c>
      <c r="G2" s="17" t="s">
        <v>250</v>
      </c>
      <c r="H2" s="17" t="s">
        <v>251</v>
      </c>
      <c r="I2" s="27" t="s">
        <v>252</v>
      </c>
      <c r="J2" s="28" t="s">
        <v>253</v>
      </c>
      <c r="K2" s="28" t="s">
        <v>254</v>
      </c>
      <c r="L2" s="17" t="s">
        <v>255</v>
      </c>
      <c r="M2" s="29" t="n">
        <v>4</v>
      </c>
      <c r="N2" s="29" t="n">
        <v>3</v>
      </c>
      <c r="O2" s="29" t="n">
        <v>3</v>
      </c>
      <c r="P2" s="29" t="n">
        <v>4</v>
      </c>
      <c r="Q2" s="29" t="n">
        <f aca="false">ROUND(AVERAGE(N2:P2),1)</f>
        <v>3.3</v>
      </c>
      <c r="R2" s="30" t="n">
        <f aca="false">ROUND((M2+Q2)/2,1)</f>
        <v>3.7</v>
      </c>
      <c r="S2" s="30" t="str">
        <f aca="false">IF(R2&gt;=3.8,"P1",IF(R2&gt;=3,"P2","P3"))</f>
        <v>P2</v>
      </c>
      <c r="T2" s="29" t="str">
        <f aca="false">IF(AND(M2&gt;=4,Q2&gt;=3.5),"Yes","No")</f>
        <v>No</v>
      </c>
      <c r="U2" s="28" t="s">
        <v>256</v>
      </c>
      <c r="V2" s="28" t="s">
        <v>257</v>
      </c>
      <c r="W2" s="17" t="s">
        <v>258</v>
      </c>
    </row>
    <row r="3" customFormat="false" ht="42" hidden="false" customHeight="true" outlineLevel="0" collapsed="false">
      <c r="A3" s="15" t="s">
        <v>58</v>
      </c>
      <c r="B3" s="16" t="s">
        <v>59</v>
      </c>
      <c r="C3" s="17" t="s">
        <v>259</v>
      </c>
      <c r="D3" s="17" t="s">
        <v>260</v>
      </c>
      <c r="E3" s="26" t="s">
        <v>261</v>
      </c>
      <c r="F3" s="17" t="s">
        <v>249</v>
      </c>
      <c r="G3" s="17" t="s">
        <v>262</v>
      </c>
      <c r="H3" s="17" t="s">
        <v>263</v>
      </c>
      <c r="I3" s="27" t="s">
        <v>252</v>
      </c>
      <c r="J3" s="28" t="s">
        <v>253</v>
      </c>
      <c r="K3" s="28" t="s">
        <v>264</v>
      </c>
      <c r="L3" s="17" t="s">
        <v>265</v>
      </c>
      <c r="M3" s="29" t="n">
        <v>5</v>
      </c>
      <c r="N3" s="29" t="n">
        <v>4</v>
      </c>
      <c r="O3" s="29" t="n">
        <v>3</v>
      </c>
      <c r="P3" s="29" t="n">
        <v>4</v>
      </c>
      <c r="Q3" s="29" t="n">
        <f aca="false">ROUND(AVERAGE(N3:P3),1)</f>
        <v>3.7</v>
      </c>
      <c r="R3" s="30" t="n">
        <f aca="false">ROUND((M3+Q3)/2,1)</f>
        <v>4.4</v>
      </c>
      <c r="S3" s="30" t="str">
        <f aca="false">IF(R3&gt;=3.8,"P1",IF(R3&gt;=3,"P2","P3"))</f>
        <v>P1</v>
      </c>
      <c r="T3" s="29" t="str">
        <f aca="false">IF(AND(M3&gt;=4,Q3&gt;=3.5),"Yes","No")</f>
        <v>Yes</v>
      </c>
      <c r="U3" s="31" t="s">
        <v>266</v>
      </c>
      <c r="V3" s="28" t="s">
        <v>49</v>
      </c>
      <c r="W3" s="17" t="s">
        <v>258</v>
      </c>
    </row>
    <row r="4" customFormat="false" ht="42" hidden="false" customHeight="true" outlineLevel="0" collapsed="false">
      <c r="A4" s="15" t="s">
        <v>58</v>
      </c>
      <c r="B4" s="16" t="s">
        <v>59</v>
      </c>
      <c r="C4" s="17" t="s">
        <v>259</v>
      </c>
      <c r="D4" s="17" t="s">
        <v>260</v>
      </c>
      <c r="E4" s="26" t="s">
        <v>267</v>
      </c>
      <c r="F4" s="17" t="s">
        <v>268</v>
      </c>
      <c r="G4" s="17" t="s">
        <v>269</v>
      </c>
      <c r="H4" s="17" t="s">
        <v>270</v>
      </c>
      <c r="I4" s="27" t="s">
        <v>252</v>
      </c>
      <c r="J4" s="28" t="s">
        <v>271</v>
      </c>
      <c r="K4" s="28" t="s">
        <v>254</v>
      </c>
      <c r="L4" s="17" t="s">
        <v>272</v>
      </c>
      <c r="M4" s="29" t="n">
        <v>4</v>
      </c>
      <c r="N4" s="29" t="n">
        <v>3</v>
      </c>
      <c r="O4" s="29" t="n">
        <v>3</v>
      </c>
      <c r="P4" s="29" t="n">
        <v>3</v>
      </c>
      <c r="Q4" s="29" t="n">
        <f aca="false">ROUND(AVERAGE(N4:P4),1)</f>
        <v>3</v>
      </c>
      <c r="R4" s="30" t="n">
        <f aca="false">ROUND((M4+Q4)/2,1)</f>
        <v>3.5</v>
      </c>
      <c r="S4" s="30" t="str">
        <f aca="false">IF(R4&gt;=3.8,"P1",IF(R4&gt;=3,"P2","P3"))</f>
        <v>P2</v>
      </c>
      <c r="T4" s="29" t="str">
        <f aca="false">IF(AND(M4&gt;=4,Q4&gt;=3.5),"Yes","No")</f>
        <v>No</v>
      </c>
      <c r="U4" s="31" t="s">
        <v>266</v>
      </c>
      <c r="V4" s="28" t="s">
        <v>49</v>
      </c>
      <c r="W4" s="17" t="s">
        <v>258</v>
      </c>
    </row>
    <row r="5" customFormat="false" ht="42" hidden="false" customHeight="true" outlineLevel="0" collapsed="false">
      <c r="A5" s="15" t="s">
        <v>58</v>
      </c>
      <c r="B5" s="16" t="s">
        <v>59</v>
      </c>
      <c r="C5" s="17" t="s">
        <v>273</v>
      </c>
      <c r="D5" s="17" t="s">
        <v>274</v>
      </c>
      <c r="E5" s="26" t="s">
        <v>275</v>
      </c>
      <c r="F5" s="17" t="s">
        <v>276</v>
      </c>
      <c r="G5" s="17" t="s">
        <v>277</v>
      </c>
      <c r="H5" s="17" t="s">
        <v>278</v>
      </c>
      <c r="I5" s="27" t="s">
        <v>252</v>
      </c>
      <c r="J5" s="28" t="s">
        <v>279</v>
      </c>
      <c r="K5" s="28" t="s">
        <v>264</v>
      </c>
      <c r="L5" s="17" t="s">
        <v>280</v>
      </c>
      <c r="M5" s="29" t="n">
        <v>3</v>
      </c>
      <c r="N5" s="29" t="n">
        <v>3</v>
      </c>
      <c r="O5" s="29" t="n">
        <v>4</v>
      </c>
      <c r="P5" s="29" t="n">
        <v>4</v>
      </c>
      <c r="Q5" s="29" t="n">
        <f aca="false">ROUND(AVERAGE(N5:P5),1)</f>
        <v>3.7</v>
      </c>
      <c r="R5" s="30" t="n">
        <f aca="false">ROUND((M5+Q5)/2,1)</f>
        <v>3.4</v>
      </c>
      <c r="S5" s="30" t="str">
        <f aca="false">IF(R5&gt;=3.8,"P1",IF(R5&gt;=3,"P2","P3"))</f>
        <v>P2</v>
      </c>
      <c r="T5" s="29" t="str">
        <f aca="false">IF(AND(M5&gt;=4,Q5&gt;=3.5),"Yes","No")</f>
        <v>No</v>
      </c>
      <c r="U5" s="31" t="s">
        <v>266</v>
      </c>
      <c r="V5" s="28" t="s">
        <v>49</v>
      </c>
      <c r="W5" s="17" t="s">
        <v>258</v>
      </c>
    </row>
    <row r="6" customFormat="false" ht="42" hidden="false" customHeight="true" outlineLevel="0" collapsed="false">
      <c r="A6" s="15" t="s">
        <v>58</v>
      </c>
      <c r="B6" s="16" t="s">
        <v>59</v>
      </c>
      <c r="C6" s="17" t="s">
        <v>281</v>
      </c>
      <c r="D6" s="17" t="s">
        <v>282</v>
      </c>
      <c r="E6" s="26" t="s">
        <v>283</v>
      </c>
      <c r="F6" s="17" t="s">
        <v>284</v>
      </c>
      <c r="G6" s="17" t="s">
        <v>285</v>
      </c>
      <c r="H6" s="17" t="s">
        <v>286</v>
      </c>
      <c r="I6" s="27" t="s">
        <v>252</v>
      </c>
      <c r="J6" s="28" t="s">
        <v>271</v>
      </c>
      <c r="K6" s="28" t="s">
        <v>254</v>
      </c>
      <c r="L6" s="17" t="s">
        <v>287</v>
      </c>
      <c r="M6" s="29" t="n">
        <v>3</v>
      </c>
      <c r="N6" s="29" t="n">
        <v>3</v>
      </c>
      <c r="O6" s="29" t="n">
        <v>3</v>
      </c>
      <c r="P6" s="29" t="n">
        <v>3</v>
      </c>
      <c r="Q6" s="29" t="n">
        <f aca="false">ROUND(AVERAGE(N6:P6),1)</f>
        <v>3</v>
      </c>
      <c r="R6" s="30" t="n">
        <f aca="false">ROUND((M6+Q6)/2,1)</f>
        <v>3</v>
      </c>
      <c r="S6" s="30" t="str">
        <f aca="false">IF(R6&gt;=3.8,"P1",IF(R6&gt;=3,"P2","P3"))</f>
        <v>P2</v>
      </c>
      <c r="T6" s="29" t="str">
        <f aca="false">IF(AND(M6&gt;=4,Q6&gt;=3.5),"Yes","No")</f>
        <v>No</v>
      </c>
      <c r="U6" s="31" t="s">
        <v>266</v>
      </c>
      <c r="V6" s="28" t="s">
        <v>49</v>
      </c>
      <c r="W6" s="17" t="s">
        <v>258</v>
      </c>
    </row>
    <row r="7" customFormat="false" ht="42" hidden="false" customHeight="true" outlineLevel="0" collapsed="false">
      <c r="A7" s="15" t="s">
        <v>58</v>
      </c>
      <c r="B7" s="16" t="s">
        <v>59</v>
      </c>
      <c r="C7" s="17" t="s">
        <v>288</v>
      </c>
      <c r="D7" s="17" t="s">
        <v>289</v>
      </c>
      <c r="E7" s="26" t="s">
        <v>290</v>
      </c>
      <c r="F7" s="17" t="s">
        <v>291</v>
      </c>
      <c r="G7" s="17" t="s">
        <v>292</v>
      </c>
      <c r="H7" s="17" t="s">
        <v>293</v>
      </c>
      <c r="I7" s="27" t="s">
        <v>252</v>
      </c>
      <c r="J7" s="28" t="s">
        <v>279</v>
      </c>
      <c r="K7" s="28" t="s">
        <v>264</v>
      </c>
      <c r="L7" s="17" t="s">
        <v>294</v>
      </c>
      <c r="M7" s="29" t="n">
        <v>3</v>
      </c>
      <c r="N7" s="29" t="n">
        <v>4</v>
      </c>
      <c r="O7" s="29" t="n">
        <v>4</v>
      </c>
      <c r="P7" s="29" t="n">
        <v>4</v>
      </c>
      <c r="Q7" s="29" t="n">
        <f aca="false">ROUND(AVERAGE(N7:P7),1)</f>
        <v>4</v>
      </c>
      <c r="R7" s="30" t="n">
        <f aca="false">ROUND((M7+Q7)/2,1)</f>
        <v>3.5</v>
      </c>
      <c r="S7" s="30" t="str">
        <f aca="false">IF(R7&gt;=3.8,"P1",IF(R7&gt;=3,"P2","P3"))</f>
        <v>P2</v>
      </c>
      <c r="T7" s="29" t="str">
        <f aca="false">IF(AND(M7&gt;=4,Q7&gt;=3.5),"Yes","No")</f>
        <v>No</v>
      </c>
      <c r="U7" s="31" t="s">
        <v>266</v>
      </c>
      <c r="V7" s="28" t="s">
        <v>49</v>
      </c>
      <c r="W7" s="17" t="s">
        <v>258</v>
      </c>
    </row>
    <row r="8" customFormat="false" ht="42" hidden="false" customHeight="true" outlineLevel="0" collapsed="false">
      <c r="A8" s="15" t="s">
        <v>58</v>
      </c>
      <c r="B8" s="16" t="s">
        <v>62</v>
      </c>
      <c r="C8" s="17" t="s">
        <v>295</v>
      </c>
      <c r="D8" s="17" t="s">
        <v>296</v>
      </c>
      <c r="E8" s="26" t="s">
        <v>297</v>
      </c>
      <c r="F8" s="17" t="s">
        <v>298</v>
      </c>
      <c r="G8" s="17" t="s">
        <v>299</v>
      </c>
      <c r="H8" s="17" t="s">
        <v>300</v>
      </c>
      <c r="I8" s="27" t="s">
        <v>252</v>
      </c>
      <c r="J8" s="28" t="s">
        <v>301</v>
      </c>
      <c r="K8" s="28" t="s">
        <v>264</v>
      </c>
      <c r="L8" s="17" t="s">
        <v>302</v>
      </c>
      <c r="M8" s="29" t="n">
        <v>4</v>
      </c>
      <c r="N8" s="29" t="n">
        <v>4</v>
      </c>
      <c r="O8" s="29" t="n">
        <v>3</v>
      </c>
      <c r="P8" s="29" t="n">
        <v>4</v>
      </c>
      <c r="Q8" s="29" t="n">
        <f aca="false">ROUND(AVERAGE(N8:P8),1)</f>
        <v>3.7</v>
      </c>
      <c r="R8" s="30" t="n">
        <f aca="false">ROUND((M8+Q8)/2,1)</f>
        <v>3.9</v>
      </c>
      <c r="S8" s="30" t="str">
        <f aca="false">IF(R8&gt;=3.8,"P1",IF(R8&gt;=3,"P2","P3"))</f>
        <v>P1</v>
      </c>
      <c r="T8" s="29" t="str">
        <f aca="false">IF(AND(M8&gt;=4,Q8&gt;=3.5),"Yes","No")</f>
        <v>Yes</v>
      </c>
      <c r="U8" s="31" t="s">
        <v>266</v>
      </c>
      <c r="V8" s="28" t="s">
        <v>49</v>
      </c>
      <c r="W8" s="17" t="s">
        <v>258</v>
      </c>
    </row>
    <row r="9" customFormat="false" ht="42" hidden="false" customHeight="true" outlineLevel="0" collapsed="false">
      <c r="A9" s="15" t="s">
        <v>58</v>
      </c>
      <c r="B9" s="16" t="s">
        <v>62</v>
      </c>
      <c r="C9" s="17" t="s">
        <v>295</v>
      </c>
      <c r="D9" s="17" t="s">
        <v>303</v>
      </c>
      <c r="E9" s="26" t="s">
        <v>304</v>
      </c>
      <c r="F9" s="17" t="s">
        <v>161</v>
      </c>
      <c r="G9" s="17" t="s">
        <v>305</v>
      </c>
      <c r="H9" s="17" t="s">
        <v>306</v>
      </c>
      <c r="I9" s="27" t="s">
        <v>252</v>
      </c>
      <c r="J9" s="28" t="s">
        <v>253</v>
      </c>
      <c r="K9" s="28" t="s">
        <v>264</v>
      </c>
      <c r="L9" s="17" t="s">
        <v>307</v>
      </c>
      <c r="M9" s="29" t="n">
        <v>4</v>
      </c>
      <c r="N9" s="29" t="n">
        <v>4</v>
      </c>
      <c r="O9" s="29" t="n">
        <v>4</v>
      </c>
      <c r="P9" s="29" t="n">
        <v>4</v>
      </c>
      <c r="Q9" s="29" t="n">
        <f aca="false">ROUND(AVERAGE(N9:P9),1)</f>
        <v>4</v>
      </c>
      <c r="R9" s="30" t="n">
        <f aca="false">ROUND((M9+Q9)/2,1)</f>
        <v>4</v>
      </c>
      <c r="S9" s="30" t="str">
        <f aca="false">IF(R9&gt;=3.8,"P1",IF(R9&gt;=3,"P2","P3"))</f>
        <v>P1</v>
      </c>
      <c r="T9" s="29" t="str">
        <f aca="false">IF(AND(M9&gt;=4,Q9&gt;=3.5),"Yes","No")</f>
        <v>Yes</v>
      </c>
      <c r="U9" s="31" t="s">
        <v>266</v>
      </c>
      <c r="V9" s="28" t="s">
        <v>49</v>
      </c>
      <c r="W9" s="17" t="s">
        <v>258</v>
      </c>
    </row>
    <row r="10" customFormat="false" ht="42" hidden="false" customHeight="true" outlineLevel="0" collapsed="false">
      <c r="A10" s="15" t="s">
        <v>58</v>
      </c>
      <c r="B10" s="16" t="s">
        <v>62</v>
      </c>
      <c r="C10" s="17" t="s">
        <v>295</v>
      </c>
      <c r="D10" s="17" t="s">
        <v>308</v>
      </c>
      <c r="E10" s="26" t="s">
        <v>309</v>
      </c>
      <c r="F10" s="17" t="s">
        <v>310</v>
      </c>
      <c r="G10" s="17" t="s">
        <v>311</v>
      </c>
      <c r="H10" s="17" t="s">
        <v>312</v>
      </c>
      <c r="I10" s="27" t="s">
        <v>252</v>
      </c>
      <c r="J10" s="28" t="s">
        <v>301</v>
      </c>
      <c r="K10" s="28" t="s">
        <v>264</v>
      </c>
      <c r="L10" s="17" t="s">
        <v>313</v>
      </c>
      <c r="M10" s="29" t="n">
        <v>3</v>
      </c>
      <c r="N10" s="29" t="n">
        <v>3</v>
      </c>
      <c r="O10" s="29" t="n">
        <v>2</v>
      </c>
      <c r="P10" s="29" t="n">
        <v>4</v>
      </c>
      <c r="Q10" s="29" t="n">
        <f aca="false">ROUND(AVERAGE(N10:P10),1)</f>
        <v>3</v>
      </c>
      <c r="R10" s="30" t="n">
        <f aca="false">ROUND((M10+Q10)/2,1)</f>
        <v>3</v>
      </c>
      <c r="S10" s="30" t="str">
        <f aca="false">IF(R10&gt;=3.8,"P1",IF(R10&gt;=3,"P2","P3"))</f>
        <v>P2</v>
      </c>
      <c r="T10" s="29" t="str">
        <f aca="false">IF(AND(M10&gt;=4,Q10&gt;=3.5),"Yes","No")</f>
        <v>No</v>
      </c>
      <c r="U10" s="28" t="s">
        <v>256</v>
      </c>
      <c r="V10" s="28" t="s">
        <v>257</v>
      </c>
      <c r="W10" s="17" t="s">
        <v>258</v>
      </c>
    </row>
    <row r="11" customFormat="false" ht="42" hidden="false" customHeight="true" outlineLevel="0" collapsed="false">
      <c r="A11" s="15" t="s">
        <v>58</v>
      </c>
      <c r="B11" s="16" t="s">
        <v>62</v>
      </c>
      <c r="C11" s="17" t="s">
        <v>295</v>
      </c>
      <c r="D11" s="17" t="s">
        <v>314</v>
      </c>
      <c r="E11" s="26" t="s">
        <v>315</v>
      </c>
      <c r="F11" s="17" t="s">
        <v>316</v>
      </c>
      <c r="G11" s="17" t="s">
        <v>317</v>
      </c>
      <c r="H11" s="17" t="s">
        <v>318</v>
      </c>
      <c r="I11" s="32" t="s">
        <v>319</v>
      </c>
      <c r="J11" s="28" t="s">
        <v>301</v>
      </c>
      <c r="K11" s="28" t="s">
        <v>254</v>
      </c>
      <c r="L11" s="17" t="s">
        <v>313</v>
      </c>
      <c r="M11" s="29" t="n">
        <v>3</v>
      </c>
      <c r="N11" s="29" t="n">
        <v>4</v>
      </c>
      <c r="O11" s="29" t="n">
        <v>4</v>
      </c>
      <c r="P11" s="29" t="n">
        <v>5</v>
      </c>
      <c r="Q11" s="29" t="n">
        <f aca="false">ROUND(AVERAGE(N11:P11),1)</f>
        <v>4.3</v>
      </c>
      <c r="R11" s="30" t="n">
        <f aca="false">ROUND((M11+Q11)/2,1)</f>
        <v>3.7</v>
      </c>
      <c r="S11" s="30" t="str">
        <f aca="false">IF(R11&gt;=3.8,"P1",IF(R11&gt;=3,"P2","P3"))</f>
        <v>P2</v>
      </c>
      <c r="T11" s="29" t="str">
        <f aca="false">IF(AND(M11&gt;=4,Q11&gt;=3.5),"Yes","No")</f>
        <v>No</v>
      </c>
      <c r="U11" s="31" t="s">
        <v>266</v>
      </c>
      <c r="V11" s="28" t="s">
        <v>49</v>
      </c>
      <c r="W11" s="17" t="s">
        <v>258</v>
      </c>
    </row>
    <row r="12" customFormat="false" ht="42" hidden="false" customHeight="true" outlineLevel="0" collapsed="false">
      <c r="A12" s="15" t="s">
        <v>58</v>
      </c>
      <c r="B12" s="16" t="s">
        <v>64</v>
      </c>
      <c r="C12" s="17" t="s">
        <v>320</v>
      </c>
      <c r="D12" s="17" t="s">
        <v>321</v>
      </c>
      <c r="E12" s="26" t="s">
        <v>322</v>
      </c>
      <c r="F12" s="17" t="s">
        <v>323</v>
      </c>
      <c r="G12" s="17" t="s">
        <v>324</v>
      </c>
      <c r="H12" s="17" t="s">
        <v>325</v>
      </c>
      <c r="I12" s="27" t="s">
        <v>252</v>
      </c>
      <c r="J12" s="28" t="s">
        <v>279</v>
      </c>
      <c r="K12" s="28" t="s">
        <v>264</v>
      </c>
      <c r="L12" s="17" t="s">
        <v>326</v>
      </c>
      <c r="M12" s="29" t="n">
        <v>4</v>
      </c>
      <c r="N12" s="29" t="n">
        <v>4</v>
      </c>
      <c r="O12" s="29" t="n">
        <v>3</v>
      </c>
      <c r="P12" s="29" t="n">
        <v>4</v>
      </c>
      <c r="Q12" s="29" t="n">
        <f aca="false">ROUND(AVERAGE(N12:P12),1)</f>
        <v>3.7</v>
      </c>
      <c r="R12" s="30" t="n">
        <f aca="false">ROUND((M12+Q12)/2,1)</f>
        <v>3.9</v>
      </c>
      <c r="S12" s="30" t="str">
        <f aca="false">IF(R12&gt;=3.8,"P1",IF(R12&gt;=3,"P2","P3"))</f>
        <v>P1</v>
      </c>
      <c r="T12" s="29" t="str">
        <f aca="false">IF(AND(M12&gt;=4,Q12&gt;=3.5),"Yes","No")</f>
        <v>Yes</v>
      </c>
      <c r="U12" s="31" t="s">
        <v>266</v>
      </c>
      <c r="V12" s="28" t="s">
        <v>49</v>
      </c>
      <c r="W12" s="17" t="s">
        <v>258</v>
      </c>
    </row>
    <row r="13" customFormat="false" ht="42" hidden="false" customHeight="true" outlineLevel="0" collapsed="false">
      <c r="A13" s="15" t="s">
        <v>58</v>
      </c>
      <c r="B13" s="16" t="s">
        <v>64</v>
      </c>
      <c r="C13" s="17" t="s">
        <v>320</v>
      </c>
      <c r="D13" s="17" t="s">
        <v>327</v>
      </c>
      <c r="E13" s="26" t="s">
        <v>328</v>
      </c>
      <c r="F13" s="17" t="s">
        <v>161</v>
      </c>
      <c r="G13" s="17" t="s">
        <v>329</v>
      </c>
      <c r="H13" s="17" t="s">
        <v>330</v>
      </c>
      <c r="I13" s="27" t="s">
        <v>252</v>
      </c>
      <c r="J13" s="28" t="s">
        <v>301</v>
      </c>
      <c r="K13" s="28" t="s">
        <v>331</v>
      </c>
      <c r="L13" s="17" t="s">
        <v>332</v>
      </c>
      <c r="M13" s="29" t="n">
        <v>4</v>
      </c>
      <c r="N13" s="29" t="n">
        <v>3</v>
      </c>
      <c r="O13" s="29" t="n">
        <v>3</v>
      </c>
      <c r="P13" s="29" t="n">
        <v>3</v>
      </c>
      <c r="Q13" s="29" t="n">
        <f aca="false">ROUND(AVERAGE(N13:P13),1)</f>
        <v>3</v>
      </c>
      <c r="R13" s="30" t="n">
        <f aca="false">ROUND((M13+Q13)/2,1)</f>
        <v>3.5</v>
      </c>
      <c r="S13" s="30" t="str">
        <f aca="false">IF(R13&gt;=3.8,"P1",IF(R13&gt;=3,"P2","P3"))</f>
        <v>P2</v>
      </c>
      <c r="T13" s="29" t="str">
        <f aca="false">IF(AND(M13&gt;=4,Q13&gt;=3.5),"Yes","No")</f>
        <v>No</v>
      </c>
      <c r="U13" s="28" t="s">
        <v>256</v>
      </c>
      <c r="V13" s="28" t="s">
        <v>257</v>
      </c>
      <c r="W13" s="17" t="s">
        <v>258</v>
      </c>
    </row>
    <row r="14" customFormat="false" ht="42" hidden="false" customHeight="true" outlineLevel="0" collapsed="false">
      <c r="A14" s="15" t="s">
        <v>58</v>
      </c>
      <c r="B14" s="16" t="s">
        <v>64</v>
      </c>
      <c r="C14" s="17" t="s">
        <v>333</v>
      </c>
      <c r="D14" s="17" t="s">
        <v>334</v>
      </c>
      <c r="E14" s="26" t="s">
        <v>335</v>
      </c>
      <c r="F14" s="17" t="s">
        <v>336</v>
      </c>
      <c r="G14" s="17" t="s">
        <v>337</v>
      </c>
      <c r="H14" s="17" t="s">
        <v>338</v>
      </c>
      <c r="I14" s="32" t="s">
        <v>319</v>
      </c>
      <c r="J14" s="28" t="s">
        <v>339</v>
      </c>
      <c r="K14" s="28" t="s">
        <v>254</v>
      </c>
      <c r="L14" s="17" t="s">
        <v>340</v>
      </c>
      <c r="M14" s="29" t="n">
        <v>3</v>
      </c>
      <c r="N14" s="29" t="n">
        <v>3</v>
      </c>
      <c r="O14" s="29" t="n">
        <v>2</v>
      </c>
      <c r="P14" s="29" t="n">
        <v>4</v>
      </c>
      <c r="Q14" s="29" t="n">
        <f aca="false">ROUND(AVERAGE(N14:P14),1)</f>
        <v>3</v>
      </c>
      <c r="R14" s="30" t="n">
        <f aca="false">ROUND((M14+Q14)/2,1)</f>
        <v>3</v>
      </c>
      <c r="S14" s="30" t="str">
        <f aca="false">IF(R14&gt;=3.8,"P1",IF(R14&gt;=3,"P2","P3"))</f>
        <v>P2</v>
      </c>
      <c r="T14" s="29" t="str">
        <f aca="false">IF(AND(M14&gt;=4,Q14&gt;=3.5),"Yes","No")</f>
        <v>No</v>
      </c>
      <c r="U14" s="28" t="s">
        <v>256</v>
      </c>
      <c r="V14" s="28" t="s">
        <v>257</v>
      </c>
      <c r="W14" s="17" t="s">
        <v>341</v>
      </c>
    </row>
    <row r="15" customFormat="false" ht="42" hidden="false" customHeight="true" outlineLevel="0" collapsed="false">
      <c r="A15" s="15" t="s">
        <v>58</v>
      </c>
      <c r="B15" s="16" t="s">
        <v>64</v>
      </c>
      <c r="C15" s="17" t="s">
        <v>342</v>
      </c>
      <c r="D15" s="17" t="s">
        <v>343</v>
      </c>
      <c r="E15" s="26" t="s">
        <v>344</v>
      </c>
      <c r="F15" s="17" t="s">
        <v>345</v>
      </c>
      <c r="G15" s="17" t="s">
        <v>346</v>
      </c>
      <c r="H15" s="17" t="s">
        <v>347</v>
      </c>
      <c r="I15" s="27" t="s">
        <v>252</v>
      </c>
      <c r="J15" s="28" t="s">
        <v>301</v>
      </c>
      <c r="K15" s="28" t="s">
        <v>264</v>
      </c>
      <c r="L15" s="17" t="s">
        <v>348</v>
      </c>
      <c r="M15" s="29" t="n">
        <v>3</v>
      </c>
      <c r="N15" s="29" t="n">
        <v>3</v>
      </c>
      <c r="O15" s="29" t="n">
        <v>4</v>
      </c>
      <c r="P15" s="29" t="n">
        <v>3</v>
      </c>
      <c r="Q15" s="29" t="n">
        <f aca="false">ROUND(AVERAGE(N15:P15),1)</f>
        <v>3.3</v>
      </c>
      <c r="R15" s="30" t="n">
        <f aca="false">ROUND((M15+Q15)/2,1)</f>
        <v>3.2</v>
      </c>
      <c r="S15" s="30" t="str">
        <f aca="false">IF(R15&gt;=3.8,"P1",IF(R15&gt;=3,"P2","P3"))</f>
        <v>P2</v>
      </c>
      <c r="T15" s="29" t="str">
        <f aca="false">IF(AND(M15&gt;=4,Q15&gt;=3.5),"Yes","No")</f>
        <v>No</v>
      </c>
      <c r="U15" s="28" t="s">
        <v>256</v>
      </c>
      <c r="V15" s="28" t="s">
        <v>257</v>
      </c>
      <c r="W15" s="17" t="s">
        <v>258</v>
      </c>
    </row>
    <row r="16" customFormat="false" ht="42" hidden="false" customHeight="true" outlineLevel="0" collapsed="false">
      <c r="A16" s="15" t="s">
        <v>58</v>
      </c>
      <c r="B16" s="16" t="s">
        <v>66</v>
      </c>
      <c r="C16" s="17" t="s">
        <v>349</v>
      </c>
      <c r="D16" s="17" t="s">
        <v>350</v>
      </c>
      <c r="E16" s="26" t="s">
        <v>351</v>
      </c>
      <c r="F16" s="17" t="s">
        <v>352</v>
      </c>
      <c r="G16" s="17" t="s">
        <v>353</v>
      </c>
      <c r="H16" s="17" t="s">
        <v>354</v>
      </c>
      <c r="I16" s="27" t="s">
        <v>252</v>
      </c>
      <c r="J16" s="28" t="s">
        <v>339</v>
      </c>
      <c r="K16" s="28" t="s">
        <v>254</v>
      </c>
      <c r="L16" s="17" t="s">
        <v>355</v>
      </c>
      <c r="M16" s="29" t="n">
        <v>4</v>
      </c>
      <c r="N16" s="29" t="n">
        <v>3</v>
      </c>
      <c r="O16" s="29" t="n">
        <v>3</v>
      </c>
      <c r="P16" s="29" t="n">
        <v>2</v>
      </c>
      <c r="Q16" s="29" t="n">
        <f aca="false">ROUND(AVERAGE(N16:P16),1)</f>
        <v>2.7</v>
      </c>
      <c r="R16" s="30" t="n">
        <f aca="false">ROUND((M16+Q16)/2,1)</f>
        <v>3.4</v>
      </c>
      <c r="S16" s="30" t="str">
        <f aca="false">IF(R16&gt;=3.8,"P1",IF(R16&gt;=3,"P2","P3"))</f>
        <v>P2</v>
      </c>
      <c r="T16" s="29" t="str">
        <f aca="false">IF(AND(M16&gt;=4,Q16&gt;=3.5),"Yes","No")</f>
        <v>No</v>
      </c>
      <c r="U16" s="28" t="s">
        <v>256</v>
      </c>
      <c r="V16" s="28" t="s">
        <v>257</v>
      </c>
      <c r="W16" s="17" t="s">
        <v>258</v>
      </c>
    </row>
    <row r="17" customFormat="false" ht="42" hidden="false" customHeight="true" outlineLevel="0" collapsed="false">
      <c r="A17" s="15" t="s">
        <v>58</v>
      </c>
      <c r="B17" s="16" t="s">
        <v>66</v>
      </c>
      <c r="C17" s="17" t="s">
        <v>349</v>
      </c>
      <c r="D17" s="17" t="s">
        <v>356</v>
      </c>
      <c r="E17" s="26" t="s">
        <v>357</v>
      </c>
      <c r="F17" s="17" t="s">
        <v>358</v>
      </c>
      <c r="G17" s="17" t="s">
        <v>359</v>
      </c>
      <c r="H17" s="17" t="s">
        <v>360</v>
      </c>
      <c r="I17" s="27" t="s">
        <v>252</v>
      </c>
      <c r="J17" s="28" t="s">
        <v>301</v>
      </c>
      <c r="K17" s="28" t="s">
        <v>254</v>
      </c>
      <c r="L17" s="17" t="s">
        <v>361</v>
      </c>
      <c r="M17" s="29" t="n">
        <v>3</v>
      </c>
      <c r="N17" s="29" t="n">
        <v>3</v>
      </c>
      <c r="O17" s="29" t="n">
        <v>3</v>
      </c>
      <c r="P17" s="29" t="n">
        <v>3</v>
      </c>
      <c r="Q17" s="29" t="n">
        <f aca="false">ROUND(AVERAGE(N17:P17),1)</f>
        <v>3</v>
      </c>
      <c r="R17" s="30" t="n">
        <f aca="false">ROUND((M17+Q17)/2,1)</f>
        <v>3</v>
      </c>
      <c r="S17" s="30" t="str">
        <f aca="false">IF(R17&gt;=3.8,"P1",IF(R17&gt;=3,"P2","P3"))</f>
        <v>P2</v>
      </c>
      <c r="T17" s="29" t="str">
        <f aca="false">IF(AND(M17&gt;=4,Q17&gt;=3.5),"Yes","No")</f>
        <v>No</v>
      </c>
      <c r="U17" s="28" t="s">
        <v>256</v>
      </c>
      <c r="V17" s="28" t="s">
        <v>257</v>
      </c>
      <c r="W17" s="17" t="s">
        <v>258</v>
      </c>
    </row>
    <row r="18" customFormat="false" ht="42" hidden="false" customHeight="true" outlineLevel="0" collapsed="false">
      <c r="A18" s="15" t="s">
        <v>58</v>
      </c>
      <c r="B18" s="16" t="s">
        <v>66</v>
      </c>
      <c r="C18" s="17" t="s">
        <v>362</v>
      </c>
      <c r="D18" s="17" t="s">
        <v>363</v>
      </c>
      <c r="E18" s="26" t="s">
        <v>364</v>
      </c>
      <c r="F18" s="17" t="s">
        <v>365</v>
      </c>
      <c r="G18" s="17" t="s">
        <v>366</v>
      </c>
      <c r="H18" s="17" t="s">
        <v>367</v>
      </c>
      <c r="I18" s="27" t="s">
        <v>252</v>
      </c>
      <c r="J18" s="28" t="s">
        <v>279</v>
      </c>
      <c r="K18" s="28" t="s">
        <v>264</v>
      </c>
      <c r="L18" s="17" t="s">
        <v>368</v>
      </c>
      <c r="M18" s="29" t="n">
        <v>4</v>
      </c>
      <c r="N18" s="29" t="n">
        <v>3</v>
      </c>
      <c r="O18" s="29" t="n">
        <v>3</v>
      </c>
      <c r="P18" s="29" t="n">
        <v>3</v>
      </c>
      <c r="Q18" s="29" t="n">
        <f aca="false">ROUND(AVERAGE(N18:P18),1)</f>
        <v>3</v>
      </c>
      <c r="R18" s="30" t="n">
        <f aca="false">ROUND((M18+Q18)/2,1)</f>
        <v>3.5</v>
      </c>
      <c r="S18" s="30" t="str">
        <f aca="false">IF(R18&gt;=3.8,"P1",IF(R18&gt;=3,"P2","P3"))</f>
        <v>P2</v>
      </c>
      <c r="T18" s="29" t="str">
        <f aca="false">IF(AND(M18&gt;=4,Q18&gt;=3.5),"Yes","No")</f>
        <v>No</v>
      </c>
      <c r="U18" s="31" t="s">
        <v>266</v>
      </c>
      <c r="V18" s="28" t="s">
        <v>49</v>
      </c>
      <c r="W18" s="17" t="s">
        <v>258</v>
      </c>
    </row>
    <row r="19" customFormat="false" ht="42" hidden="false" customHeight="true" outlineLevel="0" collapsed="false">
      <c r="A19" s="15" t="s">
        <v>58</v>
      </c>
      <c r="B19" s="16" t="s">
        <v>66</v>
      </c>
      <c r="C19" s="17" t="s">
        <v>362</v>
      </c>
      <c r="D19" s="17" t="s">
        <v>321</v>
      </c>
      <c r="E19" s="26" t="s">
        <v>369</v>
      </c>
      <c r="F19" s="17" t="s">
        <v>370</v>
      </c>
      <c r="G19" s="17" t="s">
        <v>371</v>
      </c>
      <c r="H19" s="17" t="s">
        <v>372</v>
      </c>
      <c r="I19" s="27" t="s">
        <v>252</v>
      </c>
      <c r="J19" s="28" t="s">
        <v>279</v>
      </c>
      <c r="K19" s="28" t="s">
        <v>254</v>
      </c>
      <c r="L19" s="17" t="s">
        <v>373</v>
      </c>
      <c r="M19" s="29" t="n">
        <v>3</v>
      </c>
      <c r="N19" s="29" t="n">
        <v>4</v>
      </c>
      <c r="O19" s="29" t="n">
        <v>4</v>
      </c>
      <c r="P19" s="29" t="n">
        <v>4</v>
      </c>
      <c r="Q19" s="29" t="n">
        <f aca="false">ROUND(AVERAGE(N19:P19),1)</f>
        <v>4</v>
      </c>
      <c r="R19" s="30" t="n">
        <f aca="false">ROUND((M19+Q19)/2,1)</f>
        <v>3.5</v>
      </c>
      <c r="S19" s="30" t="str">
        <f aca="false">IF(R19&gt;=3.8,"P1",IF(R19&gt;=3,"P2","P3"))</f>
        <v>P2</v>
      </c>
      <c r="T19" s="29" t="str">
        <f aca="false">IF(AND(M19&gt;=4,Q19&gt;=3.5),"Yes","No")</f>
        <v>No</v>
      </c>
      <c r="U19" s="31" t="s">
        <v>266</v>
      </c>
      <c r="V19" s="28" t="s">
        <v>49</v>
      </c>
      <c r="W19" s="17" t="s">
        <v>258</v>
      </c>
    </row>
    <row r="20" customFormat="false" ht="42" hidden="false" customHeight="true" outlineLevel="0" collapsed="false">
      <c r="A20" s="15" t="s">
        <v>58</v>
      </c>
      <c r="B20" s="16" t="s">
        <v>68</v>
      </c>
      <c r="C20" s="17" t="s">
        <v>374</v>
      </c>
      <c r="D20" s="17" t="s">
        <v>375</v>
      </c>
      <c r="E20" s="26" t="s">
        <v>376</v>
      </c>
      <c r="F20" s="17" t="s">
        <v>377</v>
      </c>
      <c r="G20" s="17" t="s">
        <v>378</v>
      </c>
      <c r="H20" s="17" t="s">
        <v>379</v>
      </c>
      <c r="I20" s="27" t="s">
        <v>252</v>
      </c>
      <c r="J20" s="28" t="s">
        <v>301</v>
      </c>
      <c r="K20" s="28" t="s">
        <v>264</v>
      </c>
      <c r="L20" s="17" t="s">
        <v>380</v>
      </c>
      <c r="M20" s="29" t="n">
        <v>3</v>
      </c>
      <c r="N20" s="29" t="n">
        <v>4</v>
      </c>
      <c r="O20" s="29" t="n">
        <v>4</v>
      </c>
      <c r="P20" s="29" t="n">
        <v>4</v>
      </c>
      <c r="Q20" s="29" t="n">
        <f aca="false">ROUND(AVERAGE(N20:P20),1)</f>
        <v>4</v>
      </c>
      <c r="R20" s="30" t="n">
        <f aca="false">ROUND((M20+Q20)/2,1)</f>
        <v>3.5</v>
      </c>
      <c r="S20" s="30" t="str">
        <f aca="false">IF(R20&gt;=3.8,"P1",IF(R20&gt;=3,"P2","P3"))</f>
        <v>P2</v>
      </c>
      <c r="T20" s="29" t="str">
        <f aca="false">IF(AND(M20&gt;=4,Q20&gt;=3.5),"Yes","No")</f>
        <v>No</v>
      </c>
      <c r="U20" s="31" t="s">
        <v>266</v>
      </c>
      <c r="V20" s="28" t="s">
        <v>49</v>
      </c>
      <c r="W20" s="17" t="s">
        <v>381</v>
      </c>
    </row>
    <row r="21" customFormat="false" ht="42" hidden="false" customHeight="true" outlineLevel="0" collapsed="false">
      <c r="A21" s="15" t="s">
        <v>58</v>
      </c>
      <c r="B21" s="16" t="s">
        <v>68</v>
      </c>
      <c r="C21" s="17" t="s">
        <v>382</v>
      </c>
      <c r="D21" s="17" t="s">
        <v>383</v>
      </c>
      <c r="E21" s="26" t="s">
        <v>384</v>
      </c>
      <c r="F21" s="17" t="s">
        <v>385</v>
      </c>
      <c r="G21" s="17" t="s">
        <v>386</v>
      </c>
      <c r="H21" s="17" t="s">
        <v>387</v>
      </c>
      <c r="I21" s="27" t="s">
        <v>252</v>
      </c>
      <c r="J21" s="28" t="s">
        <v>271</v>
      </c>
      <c r="K21" s="28" t="s">
        <v>388</v>
      </c>
      <c r="L21" s="17" t="s">
        <v>389</v>
      </c>
      <c r="M21" s="29" t="n">
        <v>4</v>
      </c>
      <c r="N21" s="29" t="n">
        <v>3</v>
      </c>
      <c r="O21" s="29" t="n">
        <v>3</v>
      </c>
      <c r="P21" s="29" t="n">
        <v>2</v>
      </c>
      <c r="Q21" s="29" t="n">
        <f aca="false">ROUND(AVERAGE(N21:P21),1)</f>
        <v>2.7</v>
      </c>
      <c r="R21" s="30" t="n">
        <f aca="false">ROUND((M21+Q21)/2,1)</f>
        <v>3.4</v>
      </c>
      <c r="S21" s="30" t="str">
        <f aca="false">IF(R21&gt;=3.8,"P1",IF(R21&gt;=3,"P2","P3"))</f>
        <v>P2</v>
      </c>
      <c r="T21" s="29" t="str">
        <f aca="false">IF(AND(M21&gt;=4,Q21&gt;=3.5),"Yes","No")</f>
        <v>No</v>
      </c>
      <c r="U21" s="31" t="s">
        <v>266</v>
      </c>
      <c r="V21" s="28" t="s">
        <v>49</v>
      </c>
      <c r="W21" s="17" t="s">
        <v>381</v>
      </c>
    </row>
    <row r="22" customFormat="false" ht="42" hidden="false" customHeight="true" outlineLevel="0" collapsed="false">
      <c r="A22" s="15" t="s">
        <v>58</v>
      </c>
      <c r="B22" s="16" t="s">
        <v>68</v>
      </c>
      <c r="C22" s="17" t="s">
        <v>390</v>
      </c>
      <c r="D22" s="17" t="s">
        <v>391</v>
      </c>
      <c r="E22" s="26" t="s">
        <v>392</v>
      </c>
      <c r="F22" s="17" t="s">
        <v>393</v>
      </c>
      <c r="G22" s="17" t="s">
        <v>394</v>
      </c>
      <c r="H22" s="17" t="s">
        <v>395</v>
      </c>
      <c r="I22" s="32" t="s">
        <v>319</v>
      </c>
      <c r="J22" s="28" t="s">
        <v>301</v>
      </c>
      <c r="K22" s="28" t="s">
        <v>264</v>
      </c>
      <c r="L22" s="17" t="s">
        <v>396</v>
      </c>
      <c r="M22" s="29" t="n">
        <v>3</v>
      </c>
      <c r="N22" s="29" t="n">
        <v>4</v>
      </c>
      <c r="O22" s="29" t="n">
        <v>4</v>
      </c>
      <c r="P22" s="29" t="n">
        <v>4</v>
      </c>
      <c r="Q22" s="29" t="n">
        <f aca="false">ROUND(AVERAGE(N22:P22),1)</f>
        <v>4</v>
      </c>
      <c r="R22" s="30" t="n">
        <f aca="false">ROUND((M22+Q22)/2,1)</f>
        <v>3.5</v>
      </c>
      <c r="S22" s="30" t="str">
        <f aca="false">IF(R22&gt;=3.8,"P1",IF(R22&gt;=3,"P2","P3"))</f>
        <v>P2</v>
      </c>
      <c r="T22" s="29" t="str">
        <f aca="false">IF(AND(M22&gt;=4,Q22&gt;=3.5),"Yes","No")</f>
        <v>No</v>
      </c>
      <c r="U22" s="31" t="s">
        <v>266</v>
      </c>
      <c r="V22" s="28" t="s">
        <v>49</v>
      </c>
      <c r="W22" s="17" t="s">
        <v>381</v>
      </c>
    </row>
    <row r="23" customFormat="false" ht="42" hidden="false" customHeight="true" outlineLevel="0" collapsed="false">
      <c r="A23" s="15" t="s">
        <v>58</v>
      </c>
      <c r="B23" s="16" t="s">
        <v>68</v>
      </c>
      <c r="C23" s="17" t="s">
        <v>362</v>
      </c>
      <c r="D23" s="17" t="s">
        <v>397</v>
      </c>
      <c r="E23" s="26" t="s">
        <v>398</v>
      </c>
      <c r="F23" s="17" t="s">
        <v>370</v>
      </c>
      <c r="G23" s="17" t="s">
        <v>399</v>
      </c>
      <c r="H23" s="17" t="s">
        <v>400</v>
      </c>
      <c r="I23" s="32" t="s">
        <v>319</v>
      </c>
      <c r="J23" s="28" t="s">
        <v>279</v>
      </c>
      <c r="K23" s="28" t="s">
        <v>264</v>
      </c>
      <c r="L23" s="17" t="s">
        <v>396</v>
      </c>
      <c r="M23" s="29" t="n">
        <v>2</v>
      </c>
      <c r="N23" s="29" t="n">
        <v>3</v>
      </c>
      <c r="O23" s="29" t="n">
        <v>4</v>
      </c>
      <c r="P23" s="29" t="n">
        <v>4</v>
      </c>
      <c r="Q23" s="29" t="n">
        <f aca="false">ROUND(AVERAGE(N23:P23),1)</f>
        <v>3.7</v>
      </c>
      <c r="R23" s="30" t="n">
        <f aca="false">ROUND((M23+Q23)/2,1)</f>
        <v>2.9</v>
      </c>
      <c r="S23" s="30" t="str">
        <f aca="false">IF(R23&gt;=3.8,"P1",IF(R23&gt;=3,"P2","P3"))</f>
        <v>P3</v>
      </c>
      <c r="T23" s="29" t="str">
        <f aca="false">IF(AND(M23&gt;=4,Q23&gt;=3.5),"Yes","No")</f>
        <v>No</v>
      </c>
      <c r="U23" s="31" t="s">
        <v>266</v>
      </c>
      <c r="V23" s="28" t="s">
        <v>49</v>
      </c>
      <c r="W23" s="17" t="s">
        <v>381</v>
      </c>
    </row>
    <row r="24" customFormat="false" ht="42" hidden="false" customHeight="true" outlineLevel="0" collapsed="false">
      <c r="A24" s="15" t="s">
        <v>58</v>
      </c>
      <c r="B24" s="16" t="s">
        <v>70</v>
      </c>
      <c r="C24" s="17" t="s">
        <v>401</v>
      </c>
      <c r="D24" s="17" t="s">
        <v>402</v>
      </c>
      <c r="E24" s="26" t="s">
        <v>403</v>
      </c>
      <c r="F24" s="17" t="s">
        <v>404</v>
      </c>
      <c r="G24" s="17" t="s">
        <v>405</v>
      </c>
      <c r="H24" s="17" t="s">
        <v>406</v>
      </c>
      <c r="I24" s="27" t="s">
        <v>252</v>
      </c>
      <c r="J24" s="28" t="s">
        <v>253</v>
      </c>
      <c r="K24" s="28" t="s">
        <v>264</v>
      </c>
      <c r="L24" s="17" t="s">
        <v>407</v>
      </c>
      <c r="M24" s="29" t="n">
        <v>4</v>
      </c>
      <c r="N24" s="29" t="n">
        <v>3</v>
      </c>
      <c r="O24" s="29" t="n">
        <v>3</v>
      </c>
      <c r="P24" s="29" t="n">
        <v>4</v>
      </c>
      <c r="Q24" s="29" t="n">
        <f aca="false">ROUND(AVERAGE(N24:P24),1)</f>
        <v>3.3</v>
      </c>
      <c r="R24" s="30" t="n">
        <f aca="false">ROUND((M24+Q24)/2,1)</f>
        <v>3.7</v>
      </c>
      <c r="S24" s="30" t="str">
        <f aca="false">IF(R24&gt;=3.8,"P1",IF(R24&gt;=3,"P2","P3"))</f>
        <v>P2</v>
      </c>
      <c r="T24" s="29" t="str">
        <f aca="false">IF(AND(M24&gt;=4,Q24&gt;=3.5),"Yes","No")</f>
        <v>No</v>
      </c>
      <c r="U24" s="28" t="s">
        <v>256</v>
      </c>
      <c r="V24" s="28" t="s">
        <v>257</v>
      </c>
      <c r="W24" s="17" t="s">
        <v>408</v>
      </c>
    </row>
    <row r="25" customFormat="false" ht="42" hidden="false" customHeight="true" outlineLevel="0" collapsed="false">
      <c r="A25" s="15" t="s">
        <v>58</v>
      </c>
      <c r="B25" s="16" t="s">
        <v>70</v>
      </c>
      <c r="C25" s="17" t="s">
        <v>401</v>
      </c>
      <c r="D25" s="17" t="s">
        <v>409</v>
      </c>
      <c r="E25" s="26" t="s">
        <v>410</v>
      </c>
      <c r="F25" s="17" t="s">
        <v>411</v>
      </c>
      <c r="G25" s="17" t="s">
        <v>412</v>
      </c>
      <c r="H25" s="17" t="s">
        <v>413</v>
      </c>
      <c r="I25" s="27" t="s">
        <v>252</v>
      </c>
      <c r="J25" s="28" t="s">
        <v>279</v>
      </c>
      <c r="K25" s="28" t="s">
        <v>264</v>
      </c>
      <c r="L25" s="17" t="s">
        <v>414</v>
      </c>
      <c r="M25" s="29" t="n">
        <v>4</v>
      </c>
      <c r="N25" s="29" t="n">
        <v>3</v>
      </c>
      <c r="O25" s="29" t="n">
        <v>3</v>
      </c>
      <c r="P25" s="29" t="n">
        <v>4</v>
      </c>
      <c r="Q25" s="29" t="n">
        <f aca="false">ROUND(AVERAGE(N25:P25),1)</f>
        <v>3.3</v>
      </c>
      <c r="R25" s="30" t="n">
        <f aca="false">ROUND((M25+Q25)/2,1)</f>
        <v>3.7</v>
      </c>
      <c r="S25" s="30" t="str">
        <f aca="false">IF(R25&gt;=3.8,"P1",IF(R25&gt;=3,"P2","P3"))</f>
        <v>P2</v>
      </c>
      <c r="T25" s="29" t="str">
        <f aca="false">IF(AND(M25&gt;=4,Q25&gt;=3.5),"Yes","No")</f>
        <v>No</v>
      </c>
      <c r="U25" s="28" t="s">
        <v>256</v>
      </c>
      <c r="V25" s="28" t="s">
        <v>257</v>
      </c>
      <c r="W25" s="17" t="s">
        <v>408</v>
      </c>
    </row>
    <row r="26" customFormat="false" ht="42" hidden="false" customHeight="true" outlineLevel="0" collapsed="false">
      <c r="A26" s="15" t="s">
        <v>58</v>
      </c>
      <c r="B26" s="16" t="s">
        <v>70</v>
      </c>
      <c r="C26" s="17" t="s">
        <v>415</v>
      </c>
      <c r="D26" s="17" t="s">
        <v>416</v>
      </c>
      <c r="E26" s="26" t="s">
        <v>417</v>
      </c>
      <c r="F26" s="17" t="s">
        <v>411</v>
      </c>
      <c r="G26" s="17" t="s">
        <v>418</v>
      </c>
      <c r="H26" s="17" t="s">
        <v>419</v>
      </c>
      <c r="I26" s="32" t="s">
        <v>319</v>
      </c>
      <c r="J26" s="28" t="s">
        <v>279</v>
      </c>
      <c r="K26" s="28" t="s">
        <v>264</v>
      </c>
      <c r="L26" s="17" t="s">
        <v>420</v>
      </c>
      <c r="M26" s="29" t="n">
        <v>3</v>
      </c>
      <c r="N26" s="29" t="n">
        <v>4</v>
      </c>
      <c r="O26" s="29" t="n">
        <v>4</v>
      </c>
      <c r="P26" s="29" t="n">
        <v>4</v>
      </c>
      <c r="Q26" s="29" t="n">
        <f aca="false">ROUND(AVERAGE(N26:P26),1)</f>
        <v>4</v>
      </c>
      <c r="R26" s="30" t="n">
        <f aca="false">ROUND((M26+Q26)/2,1)</f>
        <v>3.5</v>
      </c>
      <c r="S26" s="30" t="str">
        <f aca="false">IF(R26&gt;=3.8,"P1",IF(R26&gt;=3,"P2","P3"))</f>
        <v>P2</v>
      </c>
      <c r="T26" s="29" t="str">
        <f aca="false">IF(AND(M26&gt;=4,Q26&gt;=3.5),"Yes","No")</f>
        <v>No</v>
      </c>
      <c r="U26" s="31" t="s">
        <v>266</v>
      </c>
      <c r="V26" s="28" t="s">
        <v>49</v>
      </c>
      <c r="W26" s="17" t="s">
        <v>408</v>
      </c>
    </row>
    <row r="27" customFormat="false" ht="42" hidden="false" customHeight="true" outlineLevel="0" collapsed="false">
      <c r="A27" s="15" t="s">
        <v>58</v>
      </c>
      <c r="B27" s="16" t="s">
        <v>70</v>
      </c>
      <c r="C27" s="17" t="s">
        <v>421</v>
      </c>
      <c r="D27" s="17" t="s">
        <v>422</v>
      </c>
      <c r="E27" s="26" t="s">
        <v>423</v>
      </c>
      <c r="F27" s="17" t="s">
        <v>345</v>
      </c>
      <c r="G27" s="17" t="s">
        <v>424</v>
      </c>
      <c r="H27" s="17" t="s">
        <v>425</v>
      </c>
      <c r="I27" s="27" t="s">
        <v>252</v>
      </c>
      <c r="J27" s="28" t="s">
        <v>301</v>
      </c>
      <c r="K27" s="28" t="s">
        <v>264</v>
      </c>
      <c r="L27" s="17" t="s">
        <v>426</v>
      </c>
      <c r="M27" s="29" t="n">
        <v>2</v>
      </c>
      <c r="N27" s="29" t="n">
        <v>3</v>
      </c>
      <c r="O27" s="29" t="n">
        <v>4</v>
      </c>
      <c r="P27" s="29" t="n">
        <v>4</v>
      </c>
      <c r="Q27" s="29" t="n">
        <f aca="false">ROUND(AVERAGE(N27:P27),1)</f>
        <v>3.7</v>
      </c>
      <c r="R27" s="30" t="n">
        <f aca="false">ROUND((M27+Q27)/2,1)</f>
        <v>2.9</v>
      </c>
      <c r="S27" s="30" t="str">
        <f aca="false">IF(R27&gt;=3.8,"P1",IF(R27&gt;=3,"P2","P3"))</f>
        <v>P3</v>
      </c>
      <c r="T27" s="29" t="str">
        <f aca="false">IF(AND(M27&gt;=4,Q27&gt;=3.5),"Yes","No")</f>
        <v>No</v>
      </c>
      <c r="U27" s="28" t="s">
        <v>256</v>
      </c>
      <c r="V27" s="28" t="s">
        <v>257</v>
      </c>
      <c r="W27" s="17" t="s">
        <v>408</v>
      </c>
    </row>
    <row r="28" customFormat="false" ht="42" hidden="false" customHeight="true" outlineLevel="0" collapsed="false">
      <c r="A28" s="15" t="s">
        <v>58</v>
      </c>
      <c r="B28" s="16" t="s">
        <v>72</v>
      </c>
      <c r="C28" s="17" t="s">
        <v>427</v>
      </c>
      <c r="D28" s="17" t="s">
        <v>428</v>
      </c>
      <c r="E28" s="26" t="s">
        <v>429</v>
      </c>
      <c r="F28" s="17" t="s">
        <v>430</v>
      </c>
      <c r="G28" s="17" t="s">
        <v>431</v>
      </c>
      <c r="H28" s="17" t="s">
        <v>432</v>
      </c>
      <c r="I28" s="27" t="s">
        <v>252</v>
      </c>
      <c r="J28" s="28" t="s">
        <v>279</v>
      </c>
      <c r="K28" s="28" t="s">
        <v>388</v>
      </c>
      <c r="L28" s="17" t="s">
        <v>433</v>
      </c>
      <c r="M28" s="29" t="n">
        <v>5</v>
      </c>
      <c r="N28" s="29" t="n">
        <v>3</v>
      </c>
      <c r="O28" s="29" t="n">
        <v>3</v>
      </c>
      <c r="P28" s="29" t="n">
        <v>3</v>
      </c>
      <c r="Q28" s="29" t="n">
        <f aca="false">ROUND(AVERAGE(N28:P28),1)</f>
        <v>3</v>
      </c>
      <c r="R28" s="30" t="n">
        <f aca="false">ROUND((M28+Q28)/2,1)</f>
        <v>4</v>
      </c>
      <c r="S28" s="30" t="str">
        <f aca="false">IF(R28&gt;=3.8,"P1",IF(R28&gt;=3,"P2","P3"))</f>
        <v>P1</v>
      </c>
      <c r="T28" s="29" t="str">
        <f aca="false">IF(AND(M28&gt;=4,Q28&gt;=3.5),"Yes","No")</f>
        <v>No</v>
      </c>
      <c r="U28" s="31" t="s">
        <v>266</v>
      </c>
      <c r="V28" s="28" t="s">
        <v>49</v>
      </c>
      <c r="W28" s="17" t="s">
        <v>408</v>
      </c>
    </row>
    <row r="29" customFormat="false" ht="42" hidden="false" customHeight="true" outlineLevel="0" collapsed="false">
      <c r="A29" s="15" t="s">
        <v>58</v>
      </c>
      <c r="B29" s="16" t="s">
        <v>72</v>
      </c>
      <c r="C29" s="17" t="s">
        <v>434</v>
      </c>
      <c r="D29" s="17" t="s">
        <v>435</v>
      </c>
      <c r="E29" s="26" t="s">
        <v>436</v>
      </c>
      <c r="F29" s="17" t="s">
        <v>161</v>
      </c>
      <c r="G29" s="17" t="s">
        <v>437</v>
      </c>
      <c r="H29" s="17" t="s">
        <v>438</v>
      </c>
      <c r="I29" s="27" t="s">
        <v>252</v>
      </c>
      <c r="J29" s="28" t="s">
        <v>271</v>
      </c>
      <c r="K29" s="28" t="s">
        <v>388</v>
      </c>
      <c r="L29" s="17" t="s">
        <v>439</v>
      </c>
      <c r="M29" s="29" t="n">
        <v>4</v>
      </c>
      <c r="N29" s="29" t="n">
        <v>3</v>
      </c>
      <c r="O29" s="29" t="n">
        <v>3</v>
      </c>
      <c r="P29" s="29" t="n">
        <v>2</v>
      </c>
      <c r="Q29" s="29" t="n">
        <f aca="false">ROUND(AVERAGE(N29:P29),1)</f>
        <v>2.7</v>
      </c>
      <c r="R29" s="30" t="n">
        <f aca="false">ROUND((M29+Q29)/2,1)</f>
        <v>3.4</v>
      </c>
      <c r="S29" s="30" t="str">
        <f aca="false">IF(R29&gt;=3.8,"P1",IF(R29&gt;=3,"P2","P3"))</f>
        <v>P2</v>
      </c>
      <c r="T29" s="29" t="str">
        <f aca="false">IF(AND(M29&gt;=4,Q29&gt;=3.5),"Yes","No")</f>
        <v>No</v>
      </c>
      <c r="U29" s="31" t="s">
        <v>266</v>
      </c>
      <c r="V29" s="28" t="s">
        <v>49</v>
      </c>
      <c r="W29" s="17" t="s">
        <v>408</v>
      </c>
    </row>
    <row r="30" customFormat="false" ht="42" hidden="false" customHeight="true" outlineLevel="0" collapsed="false">
      <c r="A30" s="15" t="s">
        <v>58</v>
      </c>
      <c r="B30" s="16" t="s">
        <v>72</v>
      </c>
      <c r="C30" s="17" t="s">
        <v>440</v>
      </c>
      <c r="D30" s="17" t="s">
        <v>441</v>
      </c>
      <c r="E30" s="26" t="s">
        <v>442</v>
      </c>
      <c r="F30" s="17" t="s">
        <v>358</v>
      </c>
      <c r="G30" s="17" t="s">
        <v>424</v>
      </c>
      <c r="H30" s="17" t="s">
        <v>443</v>
      </c>
      <c r="I30" s="27" t="s">
        <v>252</v>
      </c>
      <c r="J30" s="28" t="s">
        <v>301</v>
      </c>
      <c r="K30" s="28" t="s">
        <v>388</v>
      </c>
      <c r="L30" s="17" t="s">
        <v>444</v>
      </c>
      <c r="M30" s="29" t="n">
        <v>3</v>
      </c>
      <c r="N30" s="29" t="n">
        <v>3</v>
      </c>
      <c r="O30" s="29" t="n">
        <v>3</v>
      </c>
      <c r="P30" s="29" t="n">
        <v>3</v>
      </c>
      <c r="Q30" s="29" t="n">
        <f aca="false">ROUND(AVERAGE(N30:P30),1)</f>
        <v>3</v>
      </c>
      <c r="R30" s="30" t="n">
        <f aca="false">ROUND((M30+Q30)/2,1)</f>
        <v>3</v>
      </c>
      <c r="S30" s="30" t="str">
        <f aca="false">IF(R30&gt;=3.8,"P1",IF(R30&gt;=3,"P2","P3"))</f>
        <v>P2</v>
      </c>
      <c r="T30" s="29" t="str">
        <f aca="false">IF(AND(M30&gt;=4,Q30&gt;=3.5),"Yes","No")</f>
        <v>No</v>
      </c>
      <c r="U30" s="28" t="s">
        <v>256</v>
      </c>
      <c r="V30" s="28" t="s">
        <v>257</v>
      </c>
      <c r="W30" s="17" t="s">
        <v>408</v>
      </c>
    </row>
    <row r="31" customFormat="false" ht="42" hidden="false" customHeight="true" outlineLevel="0" collapsed="false">
      <c r="A31" s="15" t="s">
        <v>58</v>
      </c>
      <c r="B31" s="16" t="s">
        <v>74</v>
      </c>
      <c r="C31" s="17" t="s">
        <v>445</v>
      </c>
      <c r="D31" s="17" t="s">
        <v>446</v>
      </c>
      <c r="E31" s="26" t="s">
        <v>447</v>
      </c>
      <c r="F31" s="17" t="s">
        <v>448</v>
      </c>
      <c r="G31" s="17" t="s">
        <v>449</v>
      </c>
      <c r="H31" s="17" t="s">
        <v>450</v>
      </c>
      <c r="I31" s="27" t="s">
        <v>252</v>
      </c>
      <c r="J31" s="28" t="s">
        <v>451</v>
      </c>
      <c r="K31" s="28" t="s">
        <v>264</v>
      </c>
      <c r="L31" s="17" t="s">
        <v>452</v>
      </c>
      <c r="M31" s="29" t="n">
        <v>4</v>
      </c>
      <c r="N31" s="29" t="n">
        <v>3</v>
      </c>
      <c r="O31" s="29" t="n">
        <v>3</v>
      </c>
      <c r="P31" s="29" t="n">
        <v>4</v>
      </c>
      <c r="Q31" s="29" t="n">
        <f aca="false">ROUND(AVERAGE(N31:P31),1)</f>
        <v>3.3</v>
      </c>
      <c r="R31" s="30" t="n">
        <f aca="false">ROUND((M31+Q31)/2,1)</f>
        <v>3.7</v>
      </c>
      <c r="S31" s="30" t="str">
        <f aca="false">IF(R31&gt;=3.8,"P1",IF(R31&gt;=3,"P2","P3"))</f>
        <v>P2</v>
      </c>
      <c r="T31" s="29" t="str">
        <f aca="false">IF(AND(M31&gt;=4,Q31&gt;=3.5),"Yes","No")</f>
        <v>No</v>
      </c>
      <c r="U31" s="31" t="s">
        <v>266</v>
      </c>
      <c r="V31" s="28" t="s">
        <v>49</v>
      </c>
      <c r="W31" s="17" t="s">
        <v>453</v>
      </c>
    </row>
    <row r="32" customFormat="false" ht="42" hidden="false" customHeight="true" outlineLevel="0" collapsed="false">
      <c r="A32" s="15" t="s">
        <v>58</v>
      </c>
      <c r="B32" s="16" t="s">
        <v>74</v>
      </c>
      <c r="C32" s="17" t="s">
        <v>445</v>
      </c>
      <c r="D32" s="17" t="s">
        <v>454</v>
      </c>
      <c r="E32" s="26" t="s">
        <v>455</v>
      </c>
      <c r="F32" s="17" t="s">
        <v>445</v>
      </c>
      <c r="G32" s="17" t="s">
        <v>456</v>
      </c>
      <c r="H32" s="17" t="s">
        <v>457</v>
      </c>
      <c r="I32" s="27" t="s">
        <v>252</v>
      </c>
      <c r="J32" s="28" t="s">
        <v>253</v>
      </c>
      <c r="K32" s="28" t="s">
        <v>264</v>
      </c>
      <c r="L32" s="17" t="s">
        <v>458</v>
      </c>
      <c r="M32" s="29" t="n">
        <v>4</v>
      </c>
      <c r="N32" s="29" t="n">
        <v>3</v>
      </c>
      <c r="O32" s="29" t="n">
        <v>3</v>
      </c>
      <c r="P32" s="29" t="n">
        <v>4</v>
      </c>
      <c r="Q32" s="29" t="n">
        <f aca="false">ROUND(AVERAGE(N32:P32),1)</f>
        <v>3.3</v>
      </c>
      <c r="R32" s="30" t="n">
        <f aca="false">ROUND((M32+Q32)/2,1)</f>
        <v>3.7</v>
      </c>
      <c r="S32" s="30" t="str">
        <f aca="false">IF(R32&gt;=3.8,"P1",IF(R32&gt;=3,"P2","P3"))</f>
        <v>P2</v>
      </c>
      <c r="T32" s="29" t="str">
        <f aca="false">IF(AND(M32&gt;=4,Q32&gt;=3.5),"Yes","No")</f>
        <v>No</v>
      </c>
      <c r="U32" s="28" t="s">
        <v>256</v>
      </c>
      <c r="V32" s="28" t="s">
        <v>257</v>
      </c>
      <c r="W32" s="17" t="s">
        <v>453</v>
      </c>
    </row>
    <row r="33" customFormat="false" ht="42" hidden="false" customHeight="true" outlineLevel="0" collapsed="false">
      <c r="A33" s="15" t="s">
        <v>58</v>
      </c>
      <c r="B33" s="16" t="s">
        <v>74</v>
      </c>
      <c r="C33" s="17" t="s">
        <v>459</v>
      </c>
      <c r="D33" s="17" t="s">
        <v>460</v>
      </c>
      <c r="E33" s="26" t="s">
        <v>461</v>
      </c>
      <c r="F33" s="17" t="s">
        <v>462</v>
      </c>
      <c r="G33" s="17" t="s">
        <v>463</v>
      </c>
      <c r="H33" s="17" t="s">
        <v>464</v>
      </c>
      <c r="I33" s="27" t="s">
        <v>252</v>
      </c>
      <c r="J33" s="28" t="s">
        <v>253</v>
      </c>
      <c r="K33" s="28" t="s">
        <v>254</v>
      </c>
      <c r="L33" s="17" t="s">
        <v>465</v>
      </c>
      <c r="M33" s="29" t="n">
        <v>4</v>
      </c>
      <c r="N33" s="29" t="n">
        <v>4</v>
      </c>
      <c r="O33" s="29" t="n">
        <v>3</v>
      </c>
      <c r="P33" s="29" t="n">
        <v>4</v>
      </c>
      <c r="Q33" s="29" t="n">
        <f aca="false">ROUND(AVERAGE(N33:P33),1)</f>
        <v>3.7</v>
      </c>
      <c r="R33" s="30" t="n">
        <f aca="false">ROUND((M33+Q33)/2,1)</f>
        <v>3.9</v>
      </c>
      <c r="S33" s="30" t="str">
        <f aca="false">IF(R33&gt;=3.8,"P1",IF(R33&gt;=3,"P2","P3"))</f>
        <v>P1</v>
      </c>
      <c r="T33" s="29" t="str">
        <f aca="false">IF(AND(M33&gt;=4,Q33&gt;=3.5),"Yes","No")</f>
        <v>Yes</v>
      </c>
      <c r="U33" s="31" t="s">
        <v>266</v>
      </c>
      <c r="V33" s="28" t="s">
        <v>49</v>
      </c>
      <c r="W33" s="17" t="s">
        <v>453</v>
      </c>
    </row>
    <row r="34" customFormat="false" ht="42" hidden="false" customHeight="true" outlineLevel="0" collapsed="false">
      <c r="A34" s="15" t="s">
        <v>58</v>
      </c>
      <c r="B34" s="16" t="s">
        <v>74</v>
      </c>
      <c r="C34" s="17" t="s">
        <v>466</v>
      </c>
      <c r="D34" s="17" t="s">
        <v>467</v>
      </c>
      <c r="E34" s="26" t="s">
        <v>468</v>
      </c>
      <c r="F34" s="17" t="s">
        <v>445</v>
      </c>
      <c r="G34" s="17" t="s">
        <v>469</v>
      </c>
      <c r="H34" s="17" t="s">
        <v>470</v>
      </c>
      <c r="I34" s="27" t="s">
        <v>252</v>
      </c>
      <c r="J34" s="28" t="s">
        <v>301</v>
      </c>
      <c r="K34" s="28" t="s">
        <v>388</v>
      </c>
      <c r="L34" s="17" t="s">
        <v>452</v>
      </c>
      <c r="M34" s="29" t="n">
        <v>3</v>
      </c>
      <c r="N34" s="29" t="n">
        <v>3</v>
      </c>
      <c r="O34" s="29" t="n">
        <v>3</v>
      </c>
      <c r="P34" s="29" t="n">
        <v>4</v>
      </c>
      <c r="Q34" s="29" t="n">
        <f aca="false">ROUND(AVERAGE(N34:P34),1)</f>
        <v>3.3</v>
      </c>
      <c r="R34" s="30" t="n">
        <f aca="false">ROUND((M34+Q34)/2,1)</f>
        <v>3.2</v>
      </c>
      <c r="S34" s="30" t="str">
        <f aca="false">IF(R34&gt;=3.8,"P1",IF(R34&gt;=3,"P2","P3"))</f>
        <v>P2</v>
      </c>
      <c r="T34" s="29" t="str">
        <f aca="false">IF(AND(M34&gt;=4,Q34&gt;=3.5),"Yes","No")</f>
        <v>No</v>
      </c>
      <c r="U34" s="31" t="s">
        <v>266</v>
      </c>
      <c r="V34" s="28" t="s">
        <v>49</v>
      </c>
      <c r="W34" s="17" t="s">
        <v>453</v>
      </c>
    </row>
    <row r="35" customFormat="false" ht="42" hidden="false" customHeight="true" outlineLevel="0" collapsed="false">
      <c r="A35" s="15" t="s">
        <v>58</v>
      </c>
      <c r="B35" s="16" t="s">
        <v>76</v>
      </c>
      <c r="C35" s="17" t="s">
        <v>471</v>
      </c>
      <c r="D35" s="17" t="s">
        <v>472</v>
      </c>
      <c r="E35" s="26" t="s">
        <v>473</v>
      </c>
      <c r="F35" s="17" t="s">
        <v>474</v>
      </c>
      <c r="G35" s="17" t="s">
        <v>475</v>
      </c>
      <c r="H35" s="17" t="s">
        <v>476</v>
      </c>
      <c r="I35" s="32" t="s">
        <v>319</v>
      </c>
      <c r="J35" s="28" t="s">
        <v>477</v>
      </c>
      <c r="K35" s="28" t="s">
        <v>254</v>
      </c>
      <c r="L35" s="17" t="s">
        <v>478</v>
      </c>
      <c r="M35" s="29" t="n">
        <v>4</v>
      </c>
      <c r="N35" s="29" t="n">
        <v>4</v>
      </c>
      <c r="O35" s="29" t="n">
        <v>3</v>
      </c>
      <c r="P35" s="29" t="n">
        <v>4</v>
      </c>
      <c r="Q35" s="29" t="n">
        <f aca="false">ROUND(AVERAGE(N35:P35),1)</f>
        <v>3.7</v>
      </c>
      <c r="R35" s="30" t="n">
        <f aca="false">ROUND((M35+Q35)/2,1)</f>
        <v>3.9</v>
      </c>
      <c r="S35" s="30" t="str">
        <f aca="false">IF(R35&gt;=3.8,"P1",IF(R35&gt;=3,"P2","P3"))</f>
        <v>P1</v>
      </c>
      <c r="T35" s="29" t="str">
        <f aca="false">IF(AND(M35&gt;=4,Q35&gt;=3.5),"Yes","No")</f>
        <v>Yes</v>
      </c>
      <c r="U35" s="31" t="s">
        <v>266</v>
      </c>
      <c r="V35" s="28" t="s">
        <v>49</v>
      </c>
      <c r="W35" s="17" t="s">
        <v>479</v>
      </c>
    </row>
    <row r="36" customFormat="false" ht="42" hidden="false" customHeight="true" outlineLevel="0" collapsed="false">
      <c r="A36" s="15" t="s">
        <v>58</v>
      </c>
      <c r="B36" s="16" t="s">
        <v>76</v>
      </c>
      <c r="C36" s="17" t="s">
        <v>471</v>
      </c>
      <c r="D36" s="17" t="s">
        <v>480</v>
      </c>
      <c r="E36" s="26" t="s">
        <v>481</v>
      </c>
      <c r="F36" s="17" t="s">
        <v>161</v>
      </c>
      <c r="G36" s="17" t="s">
        <v>482</v>
      </c>
      <c r="H36" s="17" t="s">
        <v>483</v>
      </c>
      <c r="I36" s="27" t="s">
        <v>252</v>
      </c>
      <c r="J36" s="28" t="s">
        <v>477</v>
      </c>
      <c r="K36" s="28" t="s">
        <v>254</v>
      </c>
      <c r="L36" s="17" t="s">
        <v>484</v>
      </c>
      <c r="M36" s="29" t="n">
        <v>4</v>
      </c>
      <c r="N36" s="29" t="n">
        <v>3</v>
      </c>
      <c r="O36" s="29" t="n">
        <v>3</v>
      </c>
      <c r="P36" s="29" t="n">
        <v>4</v>
      </c>
      <c r="Q36" s="29" t="n">
        <f aca="false">ROUND(AVERAGE(N36:P36),1)</f>
        <v>3.3</v>
      </c>
      <c r="R36" s="30" t="n">
        <f aca="false">ROUND((M36+Q36)/2,1)</f>
        <v>3.7</v>
      </c>
      <c r="S36" s="30" t="str">
        <f aca="false">IF(R36&gt;=3.8,"P1",IF(R36&gt;=3,"P2","P3"))</f>
        <v>P2</v>
      </c>
      <c r="T36" s="29" t="str">
        <f aca="false">IF(AND(M36&gt;=4,Q36&gt;=3.5),"Yes","No")</f>
        <v>No</v>
      </c>
      <c r="U36" s="31" t="s">
        <v>266</v>
      </c>
      <c r="V36" s="28" t="s">
        <v>49</v>
      </c>
      <c r="W36" s="17" t="s">
        <v>479</v>
      </c>
    </row>
    <row r="37" customFormat="false" ht="42" hidden="false" customHeight="true" outlineLevel="0" collapsed="false">
      <c r="A37" s="15" t="s">
        <v>58</v>
      </c>
      <c r="B37" s="16" t="s">
        <v>76</v>
      </c>
      <c r="C37" s="17" t="s">
        <v>485</v>
      </c>
      <c r="D37" s="17" t="s">
        <v>486</v>
      </c>
      <c r="E37" s="26" t="s">
        <v>487</v>
      </c>
      <c r="F37" s="17" t="s">
        <v>488</v>
      </c>
      <c r="G37" s="17" t="s">
        <v>489</v>
      </c>
      <c r="H37" s="17" t="s">
        <v>490</v>
      </c>
      <c r="I37" s="27" t="s">
        <v>252</v>
      </c>
      <c r="J37" s="28" t="s">
        <v>271</v>
      </c>
      <c r="K37" s="28" t="s">
        <v>254</v>
      </c>
      <c r="L37" s="17" t="s">
        <v>491</v>
      </c>
      <c r="M37" s="29" t="n">
        <v>4</v>
      </c>
      <c r="N37" s="29" t="n">
        <v>3</v>
      </c>
      <c r="O37" s="29" t="n">
        <v>3</v>
      </c>
      <c r="P37" s="29" t="n">
        <v>3</v>
      </c>
      <c r="Q37" s="29" t="n">
        <f aca="false">ROUND(AVERAGE(N37:P37),1)</f>
        <v>3</v>
      </c>
      <c r="R37" s="30" t="n">
        <f aca="false">ROUND((M37+Q37)/2,1)</f>
        <v>3.5</v>
      </c>
      <c r="S37" s="30" t="str">
        <f aca="false">IF(R37&gt;=3.8,"P1",IF(R37&gt;=3,"P2","P3"))</f>
        <v>P2</v>
      </c>
      <c r="T37" s="29" t="str">
        <f aca="false">IF(AND(M37&gt;=4,Q37&gt;=3.5),"Yes","No")</f>
        <v>No</v>
      </c>
      <c r="U37" s="31" t="s">
        <v>266</v>
      </c>
      <c r="V37" s="28" t="s">
        <v>49</v>
      </c>
      <c r="W37" s="17" t="s">
        <v>479</v>
      </c>
    </row>
    <row r="38" customFormat="false" ht="42" hidden="false" customHeight="true" outlineLevel="0" collapsed="false">
      <c r="A38" s="15" t="s">
        <v>58</v>
      </c>
      <c r="B38" s="16" t="s">
        <v>76</v>
      </c>
      <c r="C38" s="17" t="s">
        <v>492</v>
      </c>
      <c r="D38" s="17" t="s">
        <v>493</v>
      </c>
      <c r="E38" s="26" t="s">
        <v>494</v>
      </c>
      <c r="F38" s="17" t="s">
        <v>495</v>
      </c>
      <c r="G38" s="17" t="s">
        <v>496</v>
      </c>
      <c r="H38" s="17" t="s">
        <v>497</v>
      </c>
      <c r="I38" s="27" t="s">
        <v>252</v>
      </c>
      <c r="J38" s="28" t="s">
        <v>279</v>
      </c>
      <c r="K38" s="28" t="s">
        <v>331</v>
      </c>
      <c r="L38" s="17" t="s">
        <v>478</v>
      </c>
      <c r="M38" s="29" t="n">
        <v>4</v>
      </c>
      <c r="N38" s="29" t="n">
        <v>4</v>
      </c>
      <c r="O38" s="29" t="n">
        <v>4</v>
      </c>
      <c r="P38" s="29" t="n">
        <v>4</v>
      </c>
      <c r="Q38" s="29" t="n">
        <f aca="false">ROUND(AVERAGE(N38:P38),1)</f>
        <v>4</v>
      </c>
      <c r="R38" s="30" t="n">
        <f aca="false">ROUND((M38+Q38)/2,1)</f>
        <v>4</v>
      </c>
      <c r="S38" s="30" t="str">
        <f aca="false">IF(R38&gt;=3.8,"P1",IF(R38&gt;=3,"P2","P3"))</f>
        <v>P1</v>
      </c>
      <c r="T38" s="29" t="str">
        <f aca="false">IF(AND(M38&gt;=4,Q38&gt;=3.5),"Yes","No")</f>
        <v>Yes</v>
      </c>
      <c r="U38" s="31" t="s">
        <v>266</v>
      </c>
      <c r="V38" s="28" t="s">
        <v>49</v>
      </c>
      <c r="W38" s="17" t="s">
        <v>498</v>
      </c>
    </row>
    <row r="39" customFormat="false" ht="42" hidden="false" customHeight="true" outlineLevel="0" collapsed="false">
      <c r="A39" s="15" t="s">
        <v>58</v>
      </c>
      <c r="B39" s="16" t="s">
        <v>76</v>
      </c>
      <c r="C39" s="17" t="s">
        <v>499</v>
      </c>
      <c r="D39" s="17" t="s">
        <v>500</v>
      </c>
      <c r="E39" s="26" t="s">
        <v>501</v>
      </c>
      <c r="F39" s="17" t="s">
        <v>161</v>
      </c>
      <c r="G39" s="17" t="s">
        <v>502</v>
      </c>
      <c r="H39" s="17" t="s">
        <v>503</v>
      </c>
      <c r="I39" s="27" t="s">
        <v>252</v>
      </c>
      <c r="J39" s="28" t="s">
        <v>301</v>
      </c>
      <c r="K39" s="28" t="s">
        <v>254</v>
      </c>
      <c r="L39" s="17" t="s">
        <v>504</v>
      </c>
      <c r="M39" s="29" t="n">
        <v>3</v>
      </c>
      <c r="N39" s="29" t="n">
        <v>3</v>
      </c>
      <c r="O39" s="29" t="n">
        <v>3</v>
      </c>
      <c r="P39" s="29" t="n">
        <v>3</v>
      </c>
      <c r="Q39" s="29" t="n">
        <f aca="false">ROUND(AVERAGE(N39:P39),1)</f>
        <v>3</v>
      </c>
      <c r="R39" s="30" t="n">
        <f aca="false">ROUND((M39+Q39)/2,1)</f>
        <v>3</v>
      </c>
      <c r="S39" s="30" t="str">
        <f aca="false">IF(R39&gt;=3.8,"P1",IF(R39&gt;=3,"P2","P3"))</f>
        <v>P2</v>
      </c>
      <c r="T39" s="29" t="str">
        <f aca="false">IF(AND(M39&gt;=4,Q39&gt;=3.5),"Yes","No")</f>
        <v>No</v>
      </c>
      <c r="U39" s="28" t="s">
        <v>256</v>
      </c>
      <c r="V39" s="28" t="s">
        <v>257</v>
      </c>
      <c r="W39" s="17" t="s">
        <v>479</v>
      </c>
    </row>
    <row r="40" customFormat="false" ht="42" hidden="false" customHeight="true" outlineLevel="0" collapsed="false">
      <c r="A40" s="15" t="s">
        <v>58</v>
      </c>
      <c r="B40" s="16" t="s">
        <v>76</v>
      </c>
      <c r="C40" s="17" t="s">
        <v>505</v>
      </c>
      <c r="D40" s="17" t="s">
        <v>506</v>
      </c>
      <c r="E40" s="26" t="s">
        <v>507</v>
      </c>
      <c r="F40" s="17" t="s">
        <v>161</v>
      </c>
      <c r="G40" s="17" t="s">
        <v>508</v>
      </c>
      <c r="H40" s="17" t="s">
        <v>509</v>
      </c>
      <c r="I40" s="27" t="s">
        <v>252</v>
      </c>
      <c r="J40" s="28" t="s">
        <v>477</v>
      </c>
      <c r="K40" s="28" t="s">
        <v>254</v>
      </c>
      <c r="L40" s="17" t="s">
        <v>272</v>
      </c>
      <c r="M40" s="29" t="n">
        <v>4</v>
      </c>
      <c r="N40" s="29" t="n">
        <v>3</v>
      </c>
      <c r="O40" s="29" t="n">
        <v>3</v>
      </c>
      <c r="P40" s="29" t="n">
        <v>4</v>
      </c>
      <c r="Q40" s="29" t="n">
        <f aca="false">ROUND(AVERAGE(N40:P40),1)</f>
        <v>3.3</v>
      </c>
      <c r="R40" s="30" t="n">
        <f aca="false">ROUND((M40+Q40)/2,1)</f>
        <v>3.7</v>
      </c>
      <c r="S40" s="30" t="str">
        <f aca="false">IF(R40&gt;=3.8,"P1",IF(R40&gt;=3,"P2","P3"))</f>
        <v>P2</v>
      </c>
      <c r="T40" s="29" t="str">
        <f aca="false">IF(AND(M40&gt;=4,Q40&gt;=3.5),"Yes","No")</f>
        <v>No</v>
      </c>
      <c r="U40" s="31" t="s">
        <v>266</v>
      </c>
      <c r="V40" s="28" t="s">
        <v>49</v>
      </c>
      <c r="W40" s="17" t="s">
        <v>479</v>
      </c>
    </row>
    <row r="41" customFormat="false" ht="42" hidden="false" customHeight="true" outlineLevel="0" collapsed="false">
      <c r="A41" s="15" t="s">
        <v>58</v>
      </c>
      <c r="B41" s="16" t="s">
        <v>76</v>
      </c>
      <c r="C41" s="17" t="s">
        <v>510</v>
      </c>
      <c r="D41" s="17" t="s">
        <v>511</v>
      </c>
      <c r="E41" s="26" t="s">
        <v>512</v>
      </c>
      <c r="F41" s="17" t="s">
        <v>495</v>
      </c>
      <c r="G41" s="17" t="s">
        <v>513</v>
      </c>
      <c r="H41" s="17" t="s">
        <v>514</v>
      </c>
      <c r="I41" s="32" t="s">
        <v>319</v>
      </c>
      <c r="J41" s="28" t="s">
        <v>301</v>
      </c>
      <c r="K41" s="28" t="s">
        <v>254</v>
      </c>
      <c r="L41" s="17" t="s">
        <v>478</v>
      </c>
      <c r="M41" s="29" t="n">
        <v>3</v>
      </c>
      <c r="N41" s="29" t="n">
        <v>4</v>
      </c>
      <c r="O41" s="29" t="n">
        <v>3</v>
      </c>
      <c r="P41" s="29" t="n">
        <v>4</v>
      </c>
      <c r="Q41" s="29" t="n">
        <f aca="false">ROUND(AVERAGE(N41:P41),1)</f>
        <v>3.7</v>
      </c>
      <c r="R41" s="30" t="n">
        <f aca="false">ROUND((M41+Q41)/2,1)</f>
        <v>3.4</v>
      </c>
      <c r="S41" s="30" t="str">
        <f aca="false">IF(R41&gt;=3.8,"P1",IF(R41&gt;=3,"P2","P3"))</f>
        <v>P2</v>
      </c>
      <c r="T41" s="29" t="str">
        <f aca="false">IF(AND(M41&gt;=4,Q41&gt;=3.5),"Yes","No")</f>
        <v>No</v>
      </c>
      <c r="U41" s="31" t="s">
        <v>266</v>
      </c>
      <c r="V41" s="28" t="s">
        <v>49</v>
      </c>
      <c r="W41" s="17" t="s">
        <v>479</v>
      </c>
    </row>
    <row r="42" customFormat="false" ht="42" hidden="false" customHeight="true" outlineLevel="0" collapsed="false">
      <c r="A42" s="19" t="s">
        <v>78</v>
      </c>
      <c r="B42" s="20" t="s">
        <v>79</v>
      </c>
      <c r="C42" s="17" t="s">
        <v>515</v>
      </c>
      <c r="D42" s="17" t="s">
        <v>516</v>
      </c>
      <c r="E42" s="26" t="s">
        <v>517</v>
      </c>
      <c r="F42" s="17" t="s">
        <v>161</v>
      </c>
      <c r="G42" s="17" t="s">
        <v>518</v>
      </c>
      <c r="H42" s="17" t="s">
        <v>519</v>
      </c>
      <c r="I42" s="32" t="s">
        <v>319</v>
      </c>
      <c r="J42" s="28" t="s">
        <v>253</v>
      </c>
      <c r="K42" s="28" t="s">
        <v>520</v>
      </c>
      <c r="L42" s="17" t="s">
        <v>414</v>
      </c>
      <c r="M42" s="29" t="n">
        <v>4</v>
      </c>
      <c r="N42" s="29" t="n">
        <v>3</v>
      </c>
      <c r="O42" s="29" t="n">
        <v>3</v>
      </c>
      <c r="P42" s="29" t="n">
        <v>3</v>
      </c>
      <c r="Q42" s="29" t="n">
        <f aca="false">ROUND(AVERAGE(N42:P42),1)</f>
        <v>3</v>
      </c>
      <c r="R42" s="30" t="n">
        <f aca="false">ROUND((M42+Q42)/2,1)</f>
        <v>3.5</v>
      </c>
      <c r="S42" s="30" t="str">
        <f aca="false">IF(R42&gt;=3.8,"P1",IF(R42&gt;=3,"P2","P3"))</f>
        <v>P2</v>
      </c>
      <c r="T42" s="29" t="str">
        <f aca="false">IF(AND(M42&gt;=4,Q42&gt;=3.5),"Yes","No")</f>
        <v>No</v>
      </c>
      <c r="U42" s="28" t="s">
        <v>256</v>
      </c>
      <c r="V42" s="28" t="s">
        <v>257</v>
      </c>
      <c r="W42" s="17" t="s">
        <v>498</v>
      </c>
    </row>
    <row r="43" customFormat="false" ht="42" hidden="false" customHeight="true" outlineLevel="0" collapsed="false">
      <c r="A43" s="19" t="s">
        <v>78</v>
      </c>
      <c r="B43" s="20" t="s">
        <v>79</v>
      </c>
      <c r="C43" s="17" t="s">
        <v>515</v>
      </c>
      <c r="D43" s="17" t="s">
        <v>521</v>
      </c>
      <c r="E43" s="26" t="s">
        <v>522</v>
      </c>
      <c r="F43" s="17" t="s">
        <v>430</v>
      </c>
      <c r="G43" s="17" t="s">
        <v>523</v>
      </c>
      <c r="H43" s="17" t="s">
        <v>524</v>
      </c>
      <c r="I43" s="27" t="s">
        <v>252</v>
      </c>
      <c r="J43" s="28" t="s">
        <v>253</v>
      </c>
      <c r="K43" s="28" t="s">
        <v>388</v>
      </c>
      <c r="L43" s="17" t="s">
        <v>525</v>
      </c>
      <c r="M43" s="29" t="n">
        <v>4</v>
      </c>
      <c r="N43" s="29" t="n">
        <v>2</v>
      </c>
      <c r="O43" s="29" t="n">
        <v>3</v>
      </c>
      <c r="P43" s="29" t="n">
        <v>3</v>
      </c>
      <c r="Q43" s="29" t="n">
        <f aca="false">ROUND(AVERAGE(N43:P43),1)</f>
        <v>2.7</v>
      </c>
      <c r="R43" s="30" t="n">
        <f aca="false">ROUND((M43+Q43)/2,1)</f>
        <v>3.4</v>
      </c>
      <c r="S43" s="30" t="str">
        <f aca="false">IF(R43&gt;=3.8,"P1",IF(R43&gt;=3,"P2","P3"))</f>
        <v>P2</v>
      </c>
      <c r="T43" s="29" t="str">
        <f aca="false">IF(AND(M43&gt;=4,Q43&gt;=3.5),"Yes","No")</f>
        <v>No</v>
      </c>
      <c r="U43" s="28" t="s">
        <v>256</v>
      </c>
      <c r="V43" s="28" t="s">
        <v>257</v>
      </c>
      <c r="W43" s="17" t="s">
        <v>408</v>
      </c>
    </row>
    <row r="44" customFormat="false" ht="42" hidden="false" customHeight="true" outlineLevel="0" collapsed="false">
      <c r="A44" s="19" t="s">
        <v>78</v>
      </c>
      <c r="B44" s="20" t="s">
        <v>79</v>
      </c>
      <c r="C44" s="17" t="s">
        <v>526</v>
      </c>
      <c r="D44" s="17" t="s">
        <v>527</v>
      </c>
      <c r="E44" s="26" t="s">
        <v>528</v>
      </c>
      <c r="F44" s="17" t="s">
        <v>161</v>
      </c>
      <c r="G44" s="17" t="s">
        <v>529</v>
      </c>
      <c r="H44" s="17" t="s">
        <v>530</v>
      </c>
      <c r="I44" s="27" t="s">
        <v>252</v>
      </c>
      <c r="J44" s="28" t="s">
        <v>271</v>
      </c>
      <c r="K44" s="28" t="s">
        <v>254</v>
      </c>
      <c r="L44" s="17" t="s">
        <v>531</v>
      </c>
      <c r="M44" s="29" t="n">
        <v>4</v>
      </c>
      <c r="N44" s="29" t="n">
        <v>3</v>
      </c>
      <c r="O44" s="29" t="n">
        <v>3</v>
      </c>
      <c r="P44" s="29" t="n">
        <v>2</v>
      </c>
      <c r="Q44" s="29" t="n">
        <f aca="false">ROUND(AVERAGE(N44:P44),1)</f>
        <v>2.7</v>
      </c>
      <c r="R44" s="30" t="n">
        <f aca="false">ROUND((M44+Q44)/2,1)</f>
        <v>3.4</v>
      </c>
      <c r="S44" s="30" t="str">
        <f aca="false">IF(R44&gt;=3.8,"P1",IF(R44&gt;=3,"P2","P3"))</f>
        <v>P2</v>
      </c>
      <c r="T44" s="29" t="str">
        <f aca="false">IF(AND(M44&gt;=4,Q44&gt;=3.5),"Yes","No")</f>
        <v>No</v>
      </c>
      <c r="U44" s="31" t="s">
        <v>266</v>
      </c>
      <c r="V44" s="28" t="s">
        <v>49</v>
      </c>
      <c r="W44" s="17" t="s">
        <v>532</v>
      </c>
    </row>
    <row r="45" customFormat="false" ht="42" hidden="false" customHeight="true" outlineLevel="0" collapsed="false">
      <c r="A45" s="19" t="s">
        <v>78</v>
      </c>
      <c r="B45" s="20" t="s">
        <v>79</v>
      </c>
      <c r="C45" s="17" t="s">
        <v>526</v>
      </c>
      <c r="D45" s="17" t="s">
        <v>533</v>
      </c>
      <c r="E45" s="26" t="s">
        <v>534</v>
      </c>
      <c r="F45" s="17" t="s">
        <v>535</v>
      </c>
      <c r="G45" s="17" t="s">
        <v>536</v>
      </c>
      <c r="H45" s="17" t="s">
        <v>537</v>
      </c>
      <c r="I45" s="32" t="s">
        <v>319</v>
      </c>
      <c r="J45" s="28" t="s">
        <v>301</v>
      </c>
      <c r="K45" s="28" t="s">
        <v>254</v>
      </c>
      <c r="L45" s="17" t="s">
        <v>538</v>
      </c>
      <c r="M45" s="29" t="n">
        <v>2</v>
      </c>
      <c r="N45" s="29" t="n">
        <v>4</v>
      </c>
      <c r="O45" s="29" t="n">
        <v>4</v>
      </c>
      <c r="P45" s="29" t="n">
        <v>4</v>
      </c>
      <c r="Q45" s="29" t="n">
        <f aca="false">ROUND(AVERAGE(N45:P45),1)</f>
        <v>4</v>
      </c>
      <c r="R45" s="30" t="n">
        <f aca="false">ROUND((M45+Q45)/2,1)</f>
        <v>3</v>
      </c>
      <c r="S45" s="30" t="str">
        <f aca="false">IF(R45&gt;=3.8,"P1",IF(R45&gt;=3,"P2","P3"))</f>
        <v>P2</v>
      </c>
      <c r="T45" s="29" t="str">
        <f aca="false">IF(AND(M45&gt;=4,Q45&gt;=3.5),"Yes","No")</f>
        <v>No</v>
      </c>
      <c r="U45" s="31" t="s">
        <v>266</v>
      </c>
      <c r="V45" s="28" t="s">
        <v>49</v>
      </c>
      <c r="W45" s="17" t="s">
        <v>498</v>
      </c>
    </row>
    <row r="46" customFormat="false" ht="42" hidden="false" customHeight="true" outlineLevel="0" collapsed="false">
      <c r="A46" s="19" t="s">
        <v>78</v>
      </c>
      <c r="B46" s="20" t="s">
        <v>81</v>
      </c>
      <c r="C46" s="17" t="s">
        <v>539</v>
      </c>
      <c r="D46" s="17" t="s">
        <v>540</v>
      </c>
      <c r="E46" s="26" t="s">
        <v>541</v>
      </c>
      <c r="F46" s="17" t="s">
        <v>542</v>
      </c>
      <c r="G46" s="17" t="s">
        <v>543</v>
      </c>
      <c r="H46" s="17" t="s">
        <v>544</v>
      </c>
      <c r="I46" s="27" t="s">
        <v>252</v>
      </c>
      <c r="J46" s="28" t="s">
        <v>253</v>
      </c>
      <c r="K46" s="28" t="s">
        <v>520</v>
      </c>
      <c r="L46" s="17" t="s">
        <v>414</v>
      </c>
      <c r="M46" s="29" t="n">
        <v>4</v>
      </c>
      <c r="N46" s="29" t="n">
        <v>3</v>
      </c>
      <c r="O46" s="29" t="n">
        <v>3</v>
      </c>
      <c r="P46" s="29" t="n">
        <v>4</v>
      </c>
      <c r="Q46" s="29" t="n">
        <f aca="false">ROUND(AVERAGE(N46:P46),1)</f>
        <v>3.3</v>
      </c>
      <c r="R46" s="30" t="n">
        <f aca="false">ROUND((M46+Q46)/2,1)</f>
        <v>3.7</v>
      </c>
      <c r="S46" s="30" t="str">
        <f aca="false">IF(R46&gt;=3.8,"P1",IF(R46&gt;=3,"P2","P3"))</f>
        <v>P2</v>
      </c>
      <c r="T46" s="29" t="str">
        <f aca="false">IF(AND(M46&gt;=4,Q46&gt;=3.5),"Yes","No")</f>
        <v>No</v>
      </c>
      <c r="U46" s="28" t="s">
        <v>256</v>
      </c>
      <c r="V46" s="28" t="s">
        <v>257</v>
      </c>
      <c r="W46" s="17" t="s">
        <v>498</v>
      </c>
    </row>
    <row r="47" customFormat="false" ht="42" hidden="false" customHeight="true" outlineLevel="0" collapsed="false">
      <c r="A47" s="19" t="s">
        <v>78</v>
      </c>
      <c r="B47" s="20" t="s">
        <v>81</v>
      </c>
      <c r="C47" s="17" t="s">
        <v>539</v>
      </c>
      <c r="D47" s="17" t="s">
        <v>545</v>
      </c>
      <c r="E47" s="26" t="s">
        <v>546</v>
      </c>
      <c r="F47" s="17" t="s">
        <v>411</v>
      </c>
      <c r="G47" s="17" t="s">
        <v>547</v>
      </c>
      <c r="H47" s="17" t="s">
        <v>548</v>
      </c>
      <c r="I47" s="27" t="s">
        <v>252</v>
      </c>
      <c r="J47" s="28" t="s">
        <v>253</v>
      </c>
      <c r="K47" s="28" t="s">
        <v>520</v>
      </c>
      <c r="L47" s="17" t="s">
        <v>426</v>
      </c>
      <c r="M47" s="29" t="n">
        <v>3</v>
      </c>
      <c r="N47" s="29" t="n">
        <v>3</v>
      </c>
      <c r="O47" s="29" t="n">
        <v>3</v>
      </c>
      <c r="P47" s="29" t="n">
        <v>4</v>
      </c>
      <c r="Q47" s="29" t="n">
        <f aca="false">ROUND(AVERAGE(N47:P47),1)</f>
        <v>3.3</v>
      </c>
      <c r="R47" s="30" t="n">
        <f aca="false">ROUND((M47+Q47)/2,1)</f>
        <v>3.2</v>
      </c>
      <c r="S47" s="30" t="str">
        <f aca="false">IF(R47&gt;=3.8,"P1",IF(R47&gt;=3,"P2","P3"))</f>
        <v>P2</v>
      </c>
      <c r="T47" s="29" t="str">
        <f aca="false">IF(AND(M47&gt;=4,Q47&gt;=3.5),"Yes","No")</f>
        <v>No</v>
      </c>
      <c r="U47" s="28" t="s">
        <v>256</v>
      </c>
      <c r="V47" s="28" t="s">
        <v>257</v>
      </c>
      <c r="W47" s="17" t="s">
        <v>498</v>
      </c>
    </row>
    <row r="48" customFormat="false" ht="42" hidden="false" customHeight="true" outlineLevel="0" collapsed="false">
      <c r="A48" s="19" t="s">
        <v>78</v>
      </c>
      <c r="B48" s="20" t="s">
        <v>81</v>
      </c>
      <c r="C48" s="17" t="s">
        <v>549</v>
      </c>
      <c r="D48" s="17" t="s">
        <v>550</v>
      </c>
      <c r="E48" s="26" t="s">
        <v>551</v>
      </c>
      <c r="F48" s="17" t="s">
        <v>161</v>
      </c>
      <c r="G48" s="17" t="s">
        <v>552</v>
      </c>
      <c r="H48" s="17" t="s">
        <v>553</v>
      </c>
      <c r="I48" s="27" t="s">
        <v>252</v>
      </c>
      <c r="J48" s="28" t="s">
        <v>253</v>
      </c>
      <c r="K48" s="28" t="s">
        <v>388</v>
      </c>
      <c r="L48" s="17" t="s">
        <v>554</v>
      </c>
      <c r="M48" s="29" t="n">
        <v>5</v>
      </c>
      <c r="N48" s="29" t="n">
        <v>3</v>
      </c>
      <c r="O48" s="29" t="n">
        <v>3</v>
      </c>
      <c r="P48" s="29" t="n">
        <v>3</v>
      </c>
      <c r="Q48" s="29" t="n">
        <f aca="false">ROUND(AVERAGE(N48:P48),1)</f>
        <v>3</v>
      </c>
      <c r="R48" s="30" t="n">
        <f aca="false">ROUND((M48+Q48)/2,1)</f>
        <v>4</v>
      </c>
      <c r="S48" s="30" t="str">
        <f aca="false">IF(R48&gt;=3.8,"P1",IF(R48&gt;=3,"P2","P3"))</f>
        <v>P1</v>
      </c>
      <c r="T48" s="29" t="str">
        <f aca="false">IF(AND(M48&gt;=4,Q48&gt;=3.5),"Yes","No")</f>
        <v>No</v>
      </c>
      <c r="U48" s="31" t="s">
        <v>266</v>
      </c>
      <c r="V48" s="28" t="s">
        <v>49</v>
      </c>
      <c r="W48" s="17" t="s">
        <v>498</v>
      </c>
    </row>
    <row r="49" customFormat="false" ht="42" hidden="false" customHeight="true" outlineLevel="0" collapsed="false">
      <c r="A49" s="19" t="s">
        <v>78</v>
      </c>
      <c r="B49" s="20" t="s">
        <v>81</v>
      </c>
      <c r="C49" s="17" t="s">
        <v>555</v>
      </c>
      <c r="D49" s="17" t="s">
        <v>556</v>
      </c>
      <c r="E49" s="26" t="s">
        <v>557</v>
      </c>
      <c r="F49" s="17" t="s">
        <v>161</v>
      </c>
      <c r="G49" s="17" t="s">
        <v>558</v>
      </c>
      <c r="H49" s="17" t="s">
        <v>559</v>
      </c>
      <c r="I49" s="27" t="s">
        <v>252</v>
      </c>
      <c r="J49" s="28" t="s">
        <v>253</v>
      </c>
      <c r="K49" s="28" t="s">
        <v>520</v>
      </c>
      <c r="L49" s="17" t="s">
        <v>560</v>
      </c>
      <c r="M49" s="29" t="n">
        <v>3</v>
      </c>
      <c r="N49" s="29" t="n">
        <v>3</v>
      </c>
      <c r="O49" s="29" t="n">
        <v>3</v>
      </c>
      <c r="P49" s="29" t="n">
        <v>4</v>
      </c>
      <c r="Q49" s="29" t="n">
        <f aca="false">ROUND(AVERAGE(N49:P49),1)</f>
        <v>3.3</v>
      </c>
      <c r="R49" s="30" t="n">
        <f aca="false">ROUND((M49+Q49)/2,1)</f>
        <v>3.2</v>
      </c>
      <c r="S49" s="30" t="str">
        <f aca="false">IF(R49&gt;=3.8,"P1",IF(R49&gt;=3,"P2","P3"))</f>
        <v>P2</v>
      </c>
      <c r="T49" s="29" t="str">
        <f aca="false">IF(AND(M49&gt;=4,Q49&gt;=3.5),"Yes","No")</f>
        <v>No</v>
      </c>
      <c r="U49" s="28" t="s">
        <v>256</v>
      </c>
      <c r="V49" s="28" t="s">
        <v>257</v>
      </c>
      <c r="W49" s="17" t="s">
        <v>498</v>
      </c>
    </row>
    <row r="50" customFormat="false" ht="42" hidden="false" customHeight="true" outlineLevel="0" collapsed="false">
      <c r="A50" s="19" t="s">
        <v>78</v>
      </c>
      <c r="B50" s="20" t="s">
        <v>81</v>
      </c>
      <c r="C50" s="17" t="s">
        <v>561</v>
      </c>
      <c r="D50" s="17" t="s">
        <v>562</v>
      </c>
      <c r="E50" s="26" t="s">
        <v>563</v>
      </c>
      <c r="F50" s="17" t="s">
        <v>564</v>
      </c>
      <c r="G50" s="17" t="s">
        <v>565</v>
      </c>
      <c r="H50" s="17" t="s">
        <v>566</v>
      </c>
      <c r="I50" s="32" t="s">
        <v>319</v>
      </c>
      <c r="J50" s="28" t="s">
        <v>279</v>
      </c>
      <c r="K50" s="28" t="s">
        <v>254</v>
      </c>
      <c r="L50" s="17" t="s">
        <v>414</v>
      </c>
      <c r="M50" s="29" t="n">
        <v>2</v>
      </c>
      <c r="N50" s="29" t="n">
        <v>3</v>
      </c>
      <c r="O50" s="29" t="n">
        <v>4</v>
      </c>
      <c r="P50" s="29" t="n">
        <v>4</v>
      </c>
      <c r="Q50" s="29" t="n">
        <f aca="false">ROUND(AVERAGE(N50:P50),1)</f>
        <v>3.7</v>
      </c>
      <c r="R50" s="30" t="n">
        <f aca="false">ROUND((M50+Q50)/2,1)</f>
        <v>2.9</v>
      </c>
      <c r="S50" s="30" t="str">
        <f aca="false">IF(R50&gt;=3.8,"P1",IF(R50&gt;=3,"P2","P3"))</f>
        <v>P3</v>
      </c>
      <c r="T50" s="29" t="str">
        <f aca="false">IF(AND(M50&gt;=4,Q50&gt;=3.5),"Yes","No")</f>
        <v>No</v>
      </c>
      <c r="U50" s="31" t="s">
        <v>266</v>
      </c>
      <c r="V50" s="28" t="s">
        <v>49</v>
      </c>
      <c r="W50" s="17" t="s">
        <v>498</v>
      </c>
    </row>
    <row r="51" customFormat="false" ht="42" hidden="false" customHeight="true" outlineLevel="0" collapsed="false">
      <c r="A51" s="19" t="s">
        <v>78</v>
      </c>
      <c r="B51" s="20" t="s">
        <v>83</v>
      </c>
      <c r="C51" s="17" t="s">
        <v>567</v>
      </c>
      <c r="D51" s="17" t="s">
        <v>568</v>
      </c>
      <c r="E51" s="26" t="s">
        <v>569</v>
      </c>
      <c r="F51" s="17" t="s">
        <v>570</v>
      </c>
      <c r="G51" s="17" t="s">
        <v>571</v>
      </c>
      <c r="H51" s="17" t="s">
        <v>572</v>
      </c>
      <c r="I51" s="27" t="s">
        <v>252</v>
      </c>
      <c r="J51" s="28" t="s">
        <v>271</v>
      </c>
      <c r="K51" s="28" t="s">
        <v>254</v>
      </c>
      <c r="L51" s="17" t="s">
        <v>573</v>
      </c>
      <c r="M51" s="29" t="n">
        <v>3</v>
      </c>
      <c r="N51" s="29" t="n">
        <v>3</v>
      </c>
      <c r="O51" s="29" t="n">
        <v>3</v>
      </c>
      <c r="P51" s="29" t="n">
        <v>3</v>
      </c>
      <c r="Q51" s="29" t="n">
        <f aca="false">ROUND(AVERAGE(N51:P51),1)</f>
        <v>3</v>
      </c>
      <c r="R51" s="30" t="n">
        <f aca="false">ROUND((M51+Q51)/2,1)</f>
        <v>3</v>
      </c>
      <c r="S51" s="30" t="str">
        <f aca="false">IF(R51&gt;=3.8,"P1",IF(R51&gt;=3,"P2","P3"))</f>
        <v>P2</v>
      </c>
      <c r="T51" s="29" t="str">
        <f aca="false">IF(AND(M51&gt;=4,Q51&gt;=3.5),"Yes","No")</f>
        <v>No</v>
      </c>
      <c r="U51" s="31" t="s">
        <v>266</v>
      </c>
      <c r="V51" s="28" t="s">
        <v>49</v>
      </c>
      <c r="W51" s="17" t="s">
        <v>498</v>
      </c>
    </row>
    <row r="52" customFormat="false" ht="42" hidden="false" customHeight="true" outlineLevel="0" collapsed="false">
      <c r="A52" s="19" t="s">
        <v>78</v>
      </c>
      <c r="B52" s="20" t="s">
        <v>83</v>
      </c>
      <c r="C52" s="17" t="s">
        <v>574</v>
      </c>
      <c r="D52" s="17" t="s">
        <v>575</v>
      </c>
      <c r="E52" s="26" t="s">
        <v>576</v>
      </c>
      <c r="F52" s="17" t="s">
        <v>577</v>
      </c>
      <c r="G52" s="17" t="s">
        <v>578</v>
      </c>
      <c r="H52" s="17" t="s">
        <v>579</v>
      </c>
      <c r="I52" s="27" t="s">
        <v>252</v>
      </c>
      <c r="J52" s="28" t="s">
        <v>477</v>
      </c>
      <c r="K52" s="28" t="s">
        <v>254</v>
      </c>
      <c r="L52" s="17" t="s">
        <v>580</v>
      </c>
      <c r="M52" s="29" t="n">
        <v>2</v>
      </c>
      <c r="N52" s="29" t="n">
        <v>3</v>
      </c>
      <c r="O52" s="29" t="n">
        <v>4</v>
      </c>
      <c r="P52" s="29" t="n">
        <v>4</v>
      </c>
      <c r="Q52" s="29" t="n">
        <f aca="false">ROUND(AVERAGE(N52:P52),1)</f>
        <v>3.7</v>
      </c>
      <c r="R52" s="30" t="n">
        <f aca="false">ROUND((M52+Q52)/2,1)</f>
        <v>2.9</v>
      </c>
      <c r="S52" s="30" t="str">
        <f aca="false">IF(R52&gt;=3.8,"P1",IF(R52&gt;=3,"P2","P3"))</f>
        <v>P3</v>
      </c>
      <c r="T52" s="29" t="str">
        <f aca="false">IF(AND(M52&gt;=4,Q52&gt;=3.5),"Yes","No")</f>
        <v>No</v>
      </c>
      <c r="U52" s="31" t="s">
        <v>266</v>
      </c>
      <c r="V52" s="28" t="s">
        <v>49</v>
      </c>
      <c r="W52" s="17" t="s">
        <v>498</v>
      </c>
    </row>
    <row r="53" customFormat="false" ht="42" hidden="false" customHeight="true" outlineLevel="0" collapsed="false">
      <c r="A53" s="19" t="s">
        <v>78</v>
      </c>
      <c r="B53" s="20" t="s">
        <v>83</v>
      </c>
      <c r="C53" s="17" t="s">
        <v>581</v>
      </c>
      <c r="D53" s="17" t="s">
        <v>582</v>
      </c>
      <c r="E53" s="26" t="s">
        <v>583</v>
      </c>
      <c r="F53" s="17" t="s">
        <v>584</v>
      </c>
      <c r="G53" s="17" t="s">
        <v>496</v>
      </c>
      <c r="H53" s="17" t="s">
        <v>585</v>
      </c>
      <c r="I53" s="27" t="s">
        <v>252</v>
      </c>
      <c r="J53" s="28" t="s">
        <v>279</v>
      </c>
      <c r="K53" s="28" t="s">
        <v>254</v>
      </c>
      <c r="L53" s="17" t="s">
        <v>586</v>
      </c>
      <c r="M53" s="29" t="n">
        <v>3</v>
      </c>
      <c r="N53" s="29" t="n">
        <v>3</v>
      </c>
      <c r="O53" s="29" t="n">
        <v>4</v>
      </c>
      <c r="P53" s="29" t="n">
        <v>4</v>
      </c>
      <c r="Q53" s="29" t="n">
        <f aca="false">ROUND(AVERAGE(N53:P53),1)</f>
        <v>3.7</v>
      </c>
      <c r="R53" s="30" t="n">
        <f aca="false">ROUND((M53+Q53)/2,1)</f>
        <v>3.4</v>
      </c>
      <c r="S53" s="30" t="str">
        <f aca="false">IF(R53&gt;=3.8,"P1",IF(R53&gt;=3,"P2","P3"))</f>
        <v>P2</v>
      </c>
      <c r="T53" s="29" t="str">
        <f aca="false">IF(AND(M53&gt;=4,Q53&gt;=3.5),"Yes","No")</f>
        <v>No</v>
      </c>
      <c r="U53" s="31" t="s">
        <v>266</v>
      </c>
      <c r="V53" s="28" t="s">
        <v>49</v>
      </c>
      <c r="W53" s="17" t="s">
        <v>498</v>
      </c>
    </row>
    <row r="54" customFormat="false" ht="42" hidden="false" customHeight="true" outlineLevel="0" collapsed="false">
      <c r="A54" s="19" t="s">
        <v>78</v>
      </c>
      <c r="B54" s="20" t="s">
        <v>83</v>
      </c>
      <c r="C54" s="17" t="s">
        <v>327</v>
      </c>
      <c r="D54" s="17" t="s">
        <v>587</v>
      </c>
      <c r="E54" s="26" t="s">
        <v>588</v>
      </c>
      <c r="F54" s="17" t="s">
        <v>589</v>
      </c>
      <c r="G54" s="17" t="s">
        <v>590</v>
      </c>
      <c r="H54" s="17" t="s">
        <v>591</v>
      </c>
      <c r="I54" s="27" t="s">
        <v>252</v>
      </c>
      <c r="J54" s="28" t="s">
        <v>301</v>
      </c>
      <c r="K54" s="28" t="s">
        <v>331</v>
      </c>
      <c r="L54" s="17" t="s">
        <v>592</v>
      </c>
      <c r="M54" s="29" t="n">
        <v>3</v>
      </c>
      <c r="N54" s="29" t="n">
        <v>3</v>
      </c>
      <c r="O54" s="29" t="n">
        <v>3</v>
      </c>
      <c r="P54" s="29" t="n">
        <v>2</v>
      </c>
      <c r="Q54" s="29" t="n">
        <f aca="false">ROUND(AVERAGE(N54:P54),1)</f>
        <v>2.7</v>
      </c>
      <c r="R54" s="30" t="n">
        <f aca="false">ROUND((M54+Q54)/2,1)</f>
        <v>2.9</v>
      </c>
      <c r="S54" s="30" t="str">
        <f aca="false">IF(R54&gt;=3.8,"P1",IF(R54&gt;=3,"P2","P3"))</f>
        <v>P3</v>
      </c>
      <c r="T54" s="29" t="str">
        <f aca="false">IF(AND(M54&gt;=4,Q54&gt;=3.5),"Yes","No")</f>
        <v>No</v>
      </c>
      <c r="U54" s="28" t="s">
        <v>256</v>
      </c>
      <c r="V54" s="28" t="s">
        <v>257</v>
      </c>
      <c r="W54" s="17" t="s">
        <v>498</v>
      </c>
    </row>
    <row r="55" customFormat="false" ht="42" hidden="false" customHeight="true" outlineLevel="0" collapsed="false">
      <c r="A55" s="19" t="s">
        <v>78</v>
      </c>
      <c r="B55" s="20" t="s">
        <v>85</v>
      </c>
      <c r="C55" s="17" t="s">
        <v>593</v>
      </c>
      <c r="D55" s="17" t="s">
        <v>594</v>
      </c>
      <c r="E55" s="26" t="s">
        <v>595</v>
      </c>
      <c r="F55" s="17" t="s">
        <v>411</v>
      </c>
      <c r="G55" s="17" t="s">
        <v>596</v>
      </c>
      <c r="H55" s="17" t="s">
        <v>597</v>
      </c>
      <c r="I55" s="27" t="s">
        <v>252</v>
      </c>
      <c r="J55" s="28" t="s">
        <v>271</v>
      </c>
      <c r="K55" s="28" t="s">
        <v>388</v>
      </c>
      <c r="L55" s="17" t="s">
        <v>598</v>
      </c>
      <c r="M55" s="29" t="n">
        <v>4</v>
      </c>
      <c r="N55" s="29" t="n">
        <v>3</v>
      </c>
      <c r="O55" s="29" t="n">
        <v>3</v>
      </c>
      <c r="P55" s="29" t="n">
        <v>3</v>
      </c>
      <c r="Q55" s="29" t="n">
        <f aca="false">ROUND(AVERAGE(N55:P55),1)</f>
        <v>3</v>
      </c>
      <c r="R55" s="30" t="n">
        <f aca="false">ROUND((M55+Q55)/2,1)</f>
        <v>3.5</v>
      </c>
      <c r="S55" s="30" t="str">
        <f aca="false">IF(R55&gt;=3.8,"P1",IF(R55&gt;=3,"P2","P3"))</f>
        <v>P2</v>
      </c>
      <c r="T55" s="29" t="str">
        <f aca="false">IF(AND(M55&gt;=4,Q55&gt;=3.5),"Yes","No")</f>
        <v>No</v>
      </c>
      <c r="U55" s="31" t="s">
        <v>266</v>
      </c>
      <c r="V55" s="28" t="s">
        <v>49</v>
      </c>
      <c r="W55" s="17" t="s">
        <v>532</v>
      </c>
    </row>
    <row r="56" customFormat="false" ht="42" hidden="false" customHeight="true" outlineLevel="0" collapsed="false">
      <c r="A56" s="19" t="s">
        <v>78</v>
      </c>
      <c r="B56" s="20" t="s">
        <v>85</v>
      </c>
      <c r="C56" s="17" t="s">
        <v>599</v>
      </c>
      <c r="D56" s="17" t="s">
        <v>600</v>
      </c>
      <c r="E56" s="26" t="s">
        <v>601</v>
      </c>
      <c r="F56" s="17" t="s">
        <v>602</v>
      </c>
      <c r="G56" s="17" t="s">
        <v>529</v>
      </c>
      <c r="H56" s="17" t="s">
        <v>603</v>
      </c>
      <c r="I56" s="27" t="s">
        <v>252</v>
      </c>
      <c r="J56" s="28" t="s">
        <v>271</v>
      </c>
      <c r="K56" s="28" t="s">
        <v>254</v>
      </c>
      <c r="L56" s="17" t="s">
        <v>604</v>
      </c>
      <c r="M56" s="29" t="n">
        <v>3</v>
      </c>
      <c r="N56" s="29" t="n">
        <v>3</v>
      </c>
      <c r="O56" s="29" t="n">
        <v>3</v>
      </c>
      <c r="P56" s="29" t="n">
        <v>3</v>
      </c>
      <c r="Q56" s="29" t="n">
        <f aca="false">ROUND(AVERAGE(N56:P56),1)</f>
        <v>3</v>
      </c>
      <c r="R56" s="30" t="n">
        <f aca="false">ROUND((M56+Q56)/2,1)</f>
        <v>3</v>
      </c>
      <c r="S56" s="30" t="str">
        <f aca="false">IF(R56&gt;=3.8,"P1",IF(R56&gt;=3,"P2","P3"))</f>
        <v>P2</v>
      </c>
      <c r="T56" s="29" t="str">
        <f aca="false">IF(AND(M56&gt;=4,Q56&gt;=3.5),"Yes","No")</f>
        <v>No</v>
      </c>
      <c r="U56" s="31" t="s">
        <v>266</v>
      </c>
      <c r="V56" s="28" t="s">
        <v>49</v>
      </c>
      <c r="W56" s="17" t="s">
        <v>498</v>
      </c>
    </row>
    <row r="57" customFormat="false" ht="42" hidden="false" customHeight="true" outlineLevel="0" collapsed="false">
      <c r="A57" s="19" t="s">
        <v>78</v>
      </c>
      <c r="B57" s="20" t="s">
        <v>85</v>
      </c>
      <c r="C57" s="17" t="s">
        <v>599</v>
      </c>
      <c r="D57" s="17" t="s">
        <v>561</v>
      </c>
      <c r="E57" s="26" t="s">
        <v>605</v>
      </c>
      <c r="F57" s="17" t="s">
        <v>161</v>
      </c>
      <c r="G57" s="17" t="s">
        <v>606</v>
      </c>
      <c r="H57" s="17" t="s">
        <v>607</v>
      </c>
      <c r="I57" s="27" t="s">
        <v>252</v>
      </c>
      <c r="J57" s="28" t="s">
        <v>477</v>
      </c>
      <c r="K57" s="28" t="s">
        <v>254</v>
      </c>
      <c r="L57" s="17" t="s">
        <v>608</v>
      </c>
      <c r="M57" s="29" t="n">
        <v>3</v>
      </c>
      <c r="N57" s="29" t="n">
        <v>3</v>
      </c>
      <c r="O57" s="29" t="n">
        <v>3</v>
      </c>
      <c r="P57" s="29" t="n">
        <v>4</v>
      </c>
      <c r="Q57" s="29" t="n">
        <f aca="false">ROUND(AVERAGE(N57:P57),1)</f>
        <v>3.3</v>
      </c>
      <c r="R57" s="30" t="n">
        <f aca="false">ROUND((M57+Q57)/2,1)</f>
        <v>3.2</v>
      </c>
      <c r="S57" s="30" t="str">
        <f aca="false">IF(R57&gt;=3.8,"P1",IF(R57&gt;=3,"P2","P3"))</f>
        <v>P2</v>
      </c>
      <c r="T57" s="29" t="str">
        <f aca="false">IF(AND(M57&gt;=4,Q57&gt;=3.5),"Yes","No")</f>
        <v>No</v>
      </c>
      <c r="U57" s="31" t="s">
        <v>266</v>
      </c>
      <c r="V57" s="28" t="s">
        <v>49</v>
      </c>
      <c r="W57" s="17" t="s">
        <v>498</v>
      </c>
    </row>
    <row r="58" customFormat="false" ht="42" hidden="false" customHeight="true" outlineLevel="0" collapsed="false">
      <c r="A58" s="19" t="s">
        <v>78</v>
      </c>
      <c r="B58" s="20" t="s">
        <v>85</v>
      </c>
      <c r="C58" s="17" t="s">
        <v>327</v>
      </c>
      <c r="D58" s="17" t="s">
        <v>609</v>
      </c>
      <c r="E58" s="26" t="s">
        <v>610</v>
      </c>
      <c r="F58" s="17" t="s">
        <v>611</v>
      </c>
      <c r="G58" s="17" t="s">
        <v>612</v>
      </c>
      <c r="H58" s="17" t="s">
        <v>613</v>
      </c>
      <c r="I58" s="32" t="s">
        <v>319</v>
      </c>
      <c r="J58" s="28" t="s">
        <v>339</v>
      </c>
      <c r="K58" s="28" t="s">
        <v>331</v>
      </c>
      <c r="L58" s="17" t="s">
        <v>614</v>
      </c>
      <c r="M58" s="29" t="n">
        <v>3</v>
      </c>
      <c r="N58" s="29" t="n">
        <v>3</v>
      </c>
      <c r="O58" s="29" t="n">
        <v>2</v>
      </c>
      <c r="P58" s="29" t="n">
        <v>2</v>
      </c>
      <c r="Q58" s="29" t="n">
        <f aca="false">ROUND(AVERAGE(N58:P58),1)</f>
        <v>2.3</v>
      </c>
      <c r="R58" s="30" t="n">
        <f aca="false">ROUND((M58+Q58)/2,1)</f>
        <v>2.7</v>
      </c>
      <c r="S58" s="30" t="str">
        <f aca="false">IF(R58&gt;=3.8,"P1",IF(R58&gt;=3,"P2","P3"))</f>
        <v>P3</v>
      </c>
      <c r="T58" s="29" t="str">
        <f aca="false">IF(AND(M58&gt;=4,Q58&gt;=3.5),"Yes","No")</f>
        <v>No</v>
      </c>
      <c r="U58" s="28" t="s">
        <v>256</v>
      </c>
      <c r="V58" s="28" t="s">
        <v>257</v>
      </c>
      <c r="W58" s="17" t="s">
        <v>532</v>
      </c>
    </row>
    <row r="59" customFormat="false" ht="42" hidden="false" customHeight="true" outlineLevel="0" collapsed="false">
      <c r="A59" s="19" t="s">
        <v>78</v>
      </c>
      <c r="B59" s="20" t="s">
        <v>87</v>
      </c>
      <c r="C59" s="17" t="s">
        <v>499</v>
      </c>
      <c r="D59" s="17" t="s">
        <v>615</v>
      </c>
      <c r="E59" s="26" t="s">
        <v>616</v>
      </c>
      <c r="F59" s="17" t="s">
        <v>430</v>
      </c>
      <c r="G59" s="17" t="s">
        <v>617</v>
      </c>
      <c r="H59" s="17" t="s">
        <v>618</v>
      </c>
      <c r="I59" s="27" t="s">
        <v>252</v>
      </c>
      <c r="J59" s="28" t="s">
        <v>271</v>
      </c>
      <c r="K59" s="28" t="s">
        <v>388</v>
      </c>
      <c r="L59" s="17" t="s">
        <v>619</v>
      </c>
      <c r="M59" s="29" t="n">
        <v>4</v>
      </c>
      <c r="N59" s="29" t="n">
        <v>3</v>
      </c>
      <c r="O59" s="29" t="n">
        <v>3</v>
      </c>
      <c r="P59" s="29" t="n">
        <v>2</v>
      </c>
      <c r="Q59" s="29" t="n">
        <f aca="false">ROUND(AVERAGE(N59:P59),1)</f>
        <v>2.7</v>
      </c>
      <c r="R59" s="30" t="n">
        <f aca="false">ROUND((M59+Q59)/2,1)</f>
        <v>3.4</v>
      </c>
      <c r="S59" s="30" t="str">
        <f aca="false">IF(R59&gt;=3.8,"P1",IF(R59&gt;=3,"P2","P3"))</f>
        <v>P2</v>
      </c>
      <c r="T59" s="29" t="str">
        <f aca="false">IF(AND(M59&gt;=4,Q59&gt;=3.5),"Yes","No")</f>
        <v>No</v>
      </c>
      <c r="U59" s="31" t="s">
        <v>266</v>
      </c>
      <c r="V59" s="28" t="s">
        <v>49</v>
      </c>
      <c r="W59" s="17" t="s">
        <v>532</v>
      </c>
    </row>
    <row r="60" customFormat="false" ht="42" hidden="false" customHeight="true" outlineLevel="0" collapsed="false">
      <c r="A60" s="19" t="s">
        <v>78</v>
      </c>
      <c r="B60" s="20" t="s">
        <v>87</v>
      </c>
      <c r="C60" s="17" t="s">
        <v>499</v>
      </c>
      <c r="D60" s="17" t="s">
        <v>620</v>
      </c>
      <c r="E60" s="26" t="s">
        <v>621</v>
      </c>
      <c r="F60" s="17" t="s">
        <v>345</v>
      </c>
      <c r="G60" s="17" t="s">
        <v>622</v>
      </c>
      <c r="H60" s="17" t="s">
        <v>623</v>
      </c>
      <c r="I60" s="27" t="s">
        <v>252</v>
      </c>
      <c r="J60" s="28" t="s">
        <v>301</v>
      </c>
      <c r="K60" s="28" t="s">
        <v>254</v>
      </c>
      <c r="L60" s="17" t="s">
        <v>504</v>
      </c>
      <c r="M60" s="29" t="n">
        <v>3</v>
      </c>
      <c r="N60" s="29" t="n">
        <v>3</v>
      </c>
      <c r="O60" s="29" t="n">
        <v>3</v>
      </c>
      <c r="P60" s="29" t="n">
        <v>3</v>
      </c>
      <c r="Q60" s="29" t="n">
        <f aca="false">ROUND(AVERAGE(N60:P60),1)</f>
        <v>3</v>
      </c>
      <c r="R60" s="30" t="n">
        <f aca="false">ROUND((M60+Q60)/2,1)</f>
        <v>3</v>
      </c>
      <c r="S60" s="30" t="str">
        <f aca="false">IF(R60&gt;=3.8,"P1",IF(R60&gt;=3,"P2","P3"))</f>
        <v>P2</v>
      </c>
      <c r="T60" s="29" t="str">
        <f aca="false">IF(AND(M60&gt;=4,Q60&gt;=3.5),"Yes","No")</f>
        <v>No</v>
      </c>
      <c r="U60" s="28" t="s">
        <v>256</v>
      </c>
      <c r="V60" s="28" t="s">
        <v>257</v>
      </c>
      <c r="W60" s="17" t="s">
        <v>498</v>
      </c>
    </row>
    <row r="61" customFormat="false" ht="42" hidden="false" customHeight="true" outlineLevel="0" collapsed="false">
      <c r="A61" s="19" t="s">
        <v>78</v>
      </c>
      <c r="B61" s="20" t="s">
        <v>87</v>
      </c>
      <c r="C61" s="17" t="s">
        <v>499</v>
      </c>
      <c r="D61" s="17" t="s">
        <v>624</v>
      </c>
      <c r="E61" s="26" t="s">
        <v>625</v>
      </c>
      <c r="F61" s="17" t="s">
        <v>161</v>
      </c>
      <c r="G61" s="17" t="s">
        <v>626</v>
      </c>
      <c r="H61" s="17" t="s">
        <v>627</v>
      </c>
      <c r="I61" s="27" t="s">
        <v>252</v>
      </c>
      <c r="J61" s="28" t="s">
        <v>253</v>
      </c>
      <c r="K61" s="28" t="s">
        <v>388</v>
      </c>
      <c r="L61" s="17" t="s">
        <v>504</v>
      </c>
      <c r="M61" s="29" t="n">
        <v>3</v>
      </c>
      <c r="N61" s="29" t="n">
        <v>3</v>
      </c>
      <c r="O61" s="29" t="n">
        <v>3</v>
      </c>
      <c r="P61" s="29" t="n">
        <v>4</v>
      </c>
      <c r="Q61" s="29" t="n">
        <f aca="false">ROUND(AVERAGE(N61:P61),1)</f>
        <v>3.3</v>
      </c>
      <c r="R61" s="30" t="n">
        <f aca="false">ROUND((M61+Q61)/2,1)</f>
        <v>3.2</v>
      </c>
      <c r="S61" s="30" t="str">
        <f aca="false">IF(R61&gt;=3.8,"P1",IF(R61&gt;=3,"P2","P3"))</f>
        <v>P2</v>
      </c>
      <c r="T61" s="29" t="str">
        <f aca="false">IF(AND(M61&gt;=4,Q61&gt;=3.5),"Yes","No")</f>
        <v>No</v>
      </c>
      <c r="U61" s="28" t="s">
        <v>256</v>
      </c>
      <c r="V61" s="28" t="s">
        <v>257</v>
      </c>
      <c r="W61" s="17" t="s">
        <v>532</v>
      </c>
    </row>
    <row r="62" customFormat="false" ht="42" hidden="false" customHeight="true" outlineLevel="0" collapsed="false">
      <c r="A62" s="19" t="s">
        <v>78</v>
      </c>
      <c r="B62" s="20" t="s">
        <v>87</v>
      </c>
      <c r="C62" s="17" t="s">
        <v>499</v>
      </c>
      <c r="D62" s="17" t="s">
        <v>628</v>
      </c>
      <c r="E62" s="26" t="s">
        <v>629</v>
      </c>
      <c r="F62" s="17" t="s">
        <v>161</v>
      </c>
      <c r="G62" s="17" t="s">
        <v>630</v>
      </c>
      <c r="H62" s="17" t="s">
        <v>631</v>
      </c>
      <c r="I62" s="32" t="s">
        <v>319</v>
      </c>
      <c r="J62" s="28" t="s">
        <v>339</v>
      </c>
      <c r="K62" s="28" t="s">
        <v>254</v>
      </c>
      <c r="L62" s="17" t="s">
        <v>504</v>
      </c>
      <c r="M62" s="29" t="n">
        <v>3</v>
      </c>
      <c r="N62" s="29" t="n">
        <v>3</v>
      </c>
      <c r="O62" s="29" t="n">
        <v>3</v>
      </c>
      <c r="P62" s="29" t="n">
        <v>3</v>
      </c>
      <c r="Q62" s="29" t="n">
        <f aca="false">ROUND(AVERAGE(N62:P62),1)</f>
        <v>3</v>
      </c>
      <c r="R62" s="30" t="n">
        <f aca="false">ROUND((M62+Q62)/2,1)</f>
        <v>3</v>
      </c>
      <c r="S62" s="30" t="str">
        <f aca="false">IF(R62&gt;=3.8,"P1",IF(R62&gt;=3,"P2","P3"))</f>
        <v>P2</v>
      </c>
      <c r="T62" s="29" t="str">
        <f aca="false">IF(AND(M62&gt;=4,Q62&gt;=3.5),"Yes","No")</f>
        <v>No</v>
      </c>
      <c r="U62" s="28" t="s">
        <v>256</v>
      </c>
      <c r="V62" s="28" t="s">
        <v>257</v>
      </c>
      <c r="W62" s="17" t="s">
        <v>532</v>
      </c>
    </row>
    <row r="63" customFormat="false" ht="42" hidden="false" customHeight="true" outlineLevel="0" collapsed="false">
      <c r="A63" s="19" t="s">
        <v>78</v>
      </c>
      <c r="B63" s="20" t="s">
        <v>89</v>
      </c>
      <c r="C63" s="17" t="s">
        <v>327</v>
      </c>
      <c r="D63" s="17" t="s">
        <v>632</v>
      </c>
      <c r="E63" s="26" t="s">
        <v>633</v>
      </c>
      <c r="F63" s="17" t="s">
        <v>634</v>
      </c>
      <c r="G63" s="17" t="s">
        <v>635</v>
      </c>
      <c r="H63" s="17" t="s">
        <v>636</v>
      </c>
      <c r="I63" s="27" t="s">
        <v>252</v>
      </c>
      <c r="J63" s="28" t="s">
        <v>477</v>
      </c>
      <c r="K63" s="28" t="s">
        <v>331</v>
      </c>
      <c r="L63" s="17" t="s">
        <v>637</v>
      </c>
      <c r="M63" s="29" t="n">
        <v>4</v>
      </c>
      <c r="N63" s="29" t="n">
        <v>3</v>
      </c>
      <c r="O63" s="29" t="n">
        <v>4</v>
      </c>
      <c r="P63" s="29" t="n">
        <v>3</v>
      </c>
      <c r="Q63" s="29" t="n">
        <f aca="false">ROUND(AVERAGE(N63:P63),1)</f>
        <v>3.3</v>
      </c>
      <c r="R63" s="30" t="n">
        <f aca="false">ROUND((M63+Q63)/2,1)</f>
        <v>3.7</v>
      </c>
      <c r="S63" s="30" t="str">
        <f aca="false">IF(R63&gt;=3.8,"P1",IF(R63&gt;=3,"P2","P3"))</f>
        <v>P2</v>
      </c>
      <c r="T63" s="29" t="str">
        <f aca="false">IF(AND(M63&gt;=4,Q63&gt;=3.5),"Yes","No")</f>
        <v>No</v>
      </c>
      <c r="U63" s="31" t="s">
        <v>266</v>
      </c>
      <c r="V63" s="28" t="s">
        <v>49</v>
      </c>
      <c r="W63" s="17" t="s">
        <v>498</v>
      </c>
    </row>
    <row r="64" customFormat="false" ht="42" hidden="false" customHeight="true" outlineLevel="0" collapsed="false">
      <c r="A64" s="19" t="s">
        <v>78</v>
      </c>
      <c r="B64" s="20" t="s">
        <v>89</v>
      </c>
      <c r="C64" s="17" t="s">
        <v>638</v>
      </c>
      <c r="D64" s="17" t="s">
        <v>639</v>
      </c>
      <c r="E64" s="26" t="s">
        <v>640</v>
      </c>
      <c r="F64" s="17" t="s">
        <v>411</v>
      </c>
      <c r="G64" s="17" t="s">
        <v>641</v>
      </c>
      <c r="H64" s="17" t="s">
        <v>642</v>
      </c>
      <c r="I64" s="27" t="s">
        <v>252</v>
      </c>
      <c r="J64" s="28" t="s">
        <v>301</v>
      </c>
      <c r="K64" s="28" t="s">
        <v>331</v>
      </c>
      <c r="L64" s="17" t="s">
        <v>643</v>
      </c>
      <c r="M64" s="29" t="n">
        <v>3</v>
      </c>
      <c r="N64" s="29" t="n">
        <v>3</v>
      </c>
      <c r="O64" s="29" t="n">
        <v>4</v>
      </c>
      <c r="P64" s="29" t="n">
        <v>3</v>
      </c>
      <c r="Q64" s="29" t="n">
        <f aca="false">ROUND(AVERAGE(N64:P64),1)</f>
        <v>3.3</v>
      </c>
      <c r="R64" s="30" t="n">
        <f aca="false">ROUND((M64+Q64)/2,1)</f>
        <v>3.2</v>
      </c>
      <c r="S64" s="30" t="str">
        <f aca="false">IF(R64&gt;=3.8,"P1",IF(R64&gt;=3,"P2","P3"))</f>
        <v>P2</v>
      </c>
      <c r="T64" s="29" t="str">
        <f aca="false">IF(AND(M64&gt;=4,Q64&gt;=3.5),"Yes","No")</f>
        <v>No</v>
      </c>
      <c r="U64" s="31" t="s">
        <v>266</v>
      </c>
      <c r="V64" s="28" t="s">
        <v>49</v>
      </c>
      <c r="W64" s="17" t="s">
        <v>498</v>
      </c>
    </row>
    <row r="65" customFormat="false" ht="42" hidden="false" customHeight="true" outlineLevel="0" collapsed="false">
      <c r="A65" s="19" t="s">
        <v>78</v>
      </c>
      <c r="B65" s="20" t="s">
        <v>89</v>
      </c>
      <c r="C65" s="17" t="s">
        <v>644</v>
      </c>
      <c r="D65" s="17" t="s">
        <v>645</v>
      </c>
      <c r="E65" s="26" t="s">
        <v>646</v>
      </c>
      <c r="F65" s="17" t="s">
        <v>161</v>
      </c>
      <c r="G65" s="17" t="s">
        <v>647</v>
      </c>
      <c r="H65" s="17" t="s">
        <v>648</v>
      </c>
      <c r="I65" s="27" t="s">
        <v>252</v>
      </c>
      <c r="J65" s="28" t="s">
        <v>477</v>
      </c>
      <c r="K65" s="28" t="s">
        <v>331</v>
      </c>
      <c r="L65" s="17" t="s">
        <v>592</v>
      </c>
      <c r="M65" s="29" t="n">
        <v>4</v>
      </c>
      <c r="N65" s="29" t="n">
        <v>3</v>
      </c>
      <c r="O65" s="29" t="n">
        <v>3</v>
      </c>
      <c r="P65" s="29" t="n">
        <v>3</v>
      </c>
      <c r="Q65" s="29" t="n">
        <f aca="false">ROUND(AVERAGE(N65:P65),1)</f>
        <v>3</v>
      </c>
      <c r="R65" s="30" t="n">
        <f aca="false">ROUND((M65+Q65)/2,1)</f>
        <v>3.5</v>
      </c>
      <c r="S65" s="30" t="str">
        <f aca="false">IF(R65&gt;=3.8,"P1",IF(R65&gt;=3,"P2","P3"))</f>
        <v>P2</v>
      </c>
      <c r="T65" s="29" t="str">
        <f aca="false">IF(AND(M65&gt;=4,Q65&gt;=3.5),"Yes","No")</f>
        <v>No</v>
      </c>
      <c r="U65" s="28" t="s">
        <v>256</v>
      </c>
      <c r="V65" s="28" t="s">
        <v>257</v>
      </c>
      <c r="W65" s="17" t="s">
        <v>498</v>
      </c>
    </row>
    <row r="66" customFormat="false" ht="42" hidden="false" customHeight="true" outlineLevel="0" collapsed="false">
      <c r="A66" s="19" t="s">
        <v>78</v>
      </c>
      <c r="B66" s="20" t="s">
        <v>89</v>
      </c>
      <c r="C66" s="17" t="s">
        <v>649</v>
      </c>
      <c r="D66" s="17" t="s">
        <v>650</v>
      </c>
      <c r="E66" s="26" t="s">
        <v>651</v>
      </c>
      <c r="F66" s="17" t="s">
        <v>652</v>
      </c>
      <c r="G66" s="17" t="s">
        <v>653</v>
      </c>
      <c r="H66" s="17" t="s">
        <v>654</v>
      </c>
      <c r="I66" s="27" t="s">
        <v>252</v>
      </c>
      <c r="J66" s="28" t="s">
        <v>271</v>
      </c>
      <c r="K66" s="28" t="s">
        <v>331</v>
      </c>
      <c r="L66" s="17" t="s">
        <v>655</v>
      </c>
      <c r="M66" s="29" t="n">
        <v>3</v>
      </c>
      <c r="N66" s="29" t="n">
        <v>3</v>
      </c>
      <c r="O66" s="29" t="n">
        <v>3</v>
      </c>
      <c r="P66" s="29" t="n">
        <v>3</v>
      </c>
      <c r="Q66" s="29" t="n">
        <f aca="false">ROUND(AVERAGE(N66:P66),1)</f>
        <v>3</v>
      </c>
      <c r="R66" s="30" t="n">
        <f aca="false">ROUND((M66+Q66)/2,1)</f>
        <v>3</v>
      </c>
      <c r="S66" s="30" t="str">
        <f aca="false">IF(R66&gt;=3.8,"P1",IF(R66&gt;=3,"P2","P3"))</f>
        <v>P2</v>
      </c>
      <c r="T66" s="29" t="str">
        <f aca="false">IF(AND(M66&gt;=4,Q66&gt;=3.5),"Yes","No")</f>
        <v>No</v>
      </c>
      <c r="U66" s="28" t="s">
        <v>256</v>
      </c>
      <c r="V66" s="28" t="s">
        <v>257</v>
      </c>
      <c r="W66" s="17" t="s">
        <v>498</v>
      </c>
    </row>
    <row r="67" customFormat="false" ht="42" hidden="false" customHeight="true" outlineLevel="0" collapsed="false">
      <c r="A67" s="19" t="s">
        <v>78</v>
      </c>
      <c r="B67" s="20" t="s">
        <v>89</v>
      </c>
      <c r="C67" s="17" t="s">
        <v>656</v>
      </c>
      <c r="D67" s="17" t="s">
        <v>657</v>
      </c>
      <c r="E67" s="26" t="s">
        <v>658</v>
      </c>
      <c r="F67" s="17" t="s">
        <v>345</v>
      </c>
      <c r="G67" s="17" t="s">
        <v>659</v>
      </c>
      <c r="H67" s="17" t="s">
        <v>660</v>
      </c>
      <c r="I67" s="32" t="s">
        <v>319</v>
      </c>
      <c r="J67" s="28" t="s">
        <v>301</v>
      </c>
      <c r="K67" s="28" t="s">
        <v>331</v>
      </c>
      <c r="L67" s="17" t="s">
        <v>661</v>
      </c>
      <c r="M67" s="29" t="n">
        <v>3</v>
      </c>
      <c r="N67" s="29" t="n">
        <v>3</v>
      </c>
      <c r="O67" s="29" t="n">
        <v>4</v>
      </c>
      <c r="P67" s="29" t="n">
        <v>3</v>
      </c>
      <c r="Q67" s="29" t="n">
        <f aca="false">ROUND(AVERAGE(N67:P67),1)</f>
        <v>3.3</v>
      </c>
      <c r="R67" s="30" t="n">
        <f aca="false">ROUND((M67+Q67)/2,1)</f>
        <v>3.2</v>
      </c>
      <c r="S67" s="30" t="str">
        <f aca="false">IF(R67&gt;=3.8,"P1",IF(R67&gt;=3,"P2","P3"))</f>
        <v>P2</v>
      </c>
      <c r="T67" s="29" t="str">
        <f aca="false">IF(AND(M67&gt;=4,Q67&gt;=3.5),"Yes","No")</f>
        <v>No</v>
      </c>
      <c r="U67" s="31" t="s">
        <v>266</v>
      </c>
      <c r="V67" s="28" t="s">
        <v>49</v>
      </c>
      <c r="W67" s="17" t="s">
        <v>498</v>
      </c>
    </row>
    <row r="68" customFormat="false" ht="42" hidden="false" customHeight="true" outlineLevel="0" collapsed="false">
      <c r="A68" s="21" t="s">
        <v>91</v>
      </c>
      <c r="B68" s="22" t="s">
        <v>92</v>
      </c>
      <c r="C68" s="17" t="s">
        <v>662</v>
      </c>
      <c r="D68" s="17" t="s">
        <v>663</v>
      </c>
      <c r="E68" s="26" t="s">
        <v>664</v>
      </c>
      <c r="F68" s="17" t="s">
        <v>665</v>
      </c>
      <c r="G68" s="17" t="s">
        <v>269</v>
      </c>
      <c r="H68" s="17" t="s">
        <v>666</v>
      </c>
      <c r="I68" s="27" t="s">
        <v>252</v>
      </c>
      <c r="J68" s="28" t="s">
        <v>271</v>
      </c>
      <c r="K68" s="28" t="s">
        <v>254</v>
      </c>
      <c r="L68" s="17" t="s">
        <v>272</v>
      </c>
      <c r="M68" s="29" t="n">
        <v>5</v>
      </c>
      <c r="N68" s="29" t="n">
        <v>3</v>
      </c>
      <c r="O68" s="29" t="n">
        <v>3</v>
      </c>
      <c r="P68" s="29" t="n">
        <v>3</v>
      </c>
      <c r="Q68" s="29" t="n">
        <f aca="false">ROUND(AVERAGE(N68:P68),1)</f>
        <v>3</v>
      </c>
      <c r="R68" s="30" t="n">
        <f aca="false">ROUND((M68+Q68)/2,1)</f>
        <v>4</v>
      </c>
      <c r="S68" s="30" t="str">
        <f aca="false">IF(R68&gt;=3.8,"P1",IF(R68&gt;=3,"P2","P3"))</f>
        <v>P1</v>
      </c>
      <c r="T68" s="29" t="str">
        <f aca="false">IF(AND(M68&gt;=4,Q68&gt;=3.5),"Yes","No")</f>
        <v>No</v>
      </c>
      <c r="U68" s="31" t="s">
        <v>266</v>
      </c>
      <c r="V68" s="28" t="s">
        <v>49</v>
      </c>
      <c r="W68" s="17" t="s">
        <v>532</v>
      </c>
    </row>
    <row r="69" customFormat="false" ht="42" hidden="false" customHeight="true" outlineLevel="0" collapsed="false">
      <c r="A69" s="21" t="s">
        <v>91</v>
      </c>
      <c r="B69" s="22" t="s">
        <v>92</v>
      </c>
      <c r="C69" s="17" t="s">
        <v>667</v>
      </c>
      <c r="D69" s="17" t="s">
        <v>668</v>
      </c>
      <c r="E69" s="26" t="s">
        <v>669</v>
      </c>
      <c r="F69" s="17" t="s">
        <v>670</v>
      </c>
      <c r="G69" s="17" t="s">
        <v>671</v>
      </c>
      <c r="H69" s="17" t="s">
        <v>672</v>
      </c>
      <c r="I69" s="27" t="s">
        <v>252</v>
      </c>
      <c r="J69" s="28" t="s">
        <v>271</v>
      </c>
      <c r="K69" s="28" t="s">
        <v>520</v>
      </c>
      <c r="L69" s="17" t="s">
        <v>673</v>
      </c>
      <c r="M69" s="29" t="n">
        <v>5</v>
      </c>
      <c r="N69" s="29" t="n">
        <v>3</v>
      </c>
      <c r="O69" s="29" t="n">
        <v>2</v>
      </c>
      <c r="P69" s="29" t="n">
        <v>3</v>
      </c>
      <c r="Q69" s="29" t="n">
        <f aca="false">ROUND(AVERAGE(N69:P69),1)</f>
        <v>2.7</v>
      </c>
      <c r="R69" s="30" t="n">
        <f aca="false">ROUND((M69+Q69)/2,1)</f>
        <v>3.9</v>
      </c>
      <c r="S69" s="30" t="str">
        <f aca="false">IF(R69&gt;=3.8,"P1",IF(R69&gt;=3,"P2","P3"))</f>
        <v>P1</v>
      </c>
      <c r="T69" s="29" t="str">
        <f aca="false">IF(AND(M69&gt;=4,Q69&gt;=3.5),"Yes","No")</f>
        <v>No</v>
      </c>
      <c r="U69" s="31" t="s">
        <v>266</v>
      </c>
      <c r="V69" s="28" t="s">
        <v>49</v>
      </c>
      <c r="W69" s="17" t="s">
        <v>532</v>
      </c>
    </row>
    <row r="70" customFormat="false" ht="42" hidden="false" customHeight="true" outlineLevel="0" collapsed="false">
      <c r="A70" s="21" t="s">
        <v>91</v>
      </c>
      <c r="B70" s="22" t="s">
        <v>92</v>
      </c>
      <c r="C70" s="17" t="s">
        <v>674</v>
      </c>
      <c r="D70" s="17" t="s">
        <v>675</v>
      </c>
      <c r="E70" s="26" t="s">
        <v>676</v>
      </c>
      <c r="F70" s="17" t="s">
        <v>677</v>
      </c>
      <c r="G70" s="17" t="s">
        <v>678</v>
      </c>
      <c r="H70" s="17" t="s">
        <v>679</v>
      </c>
      <c r="I70" s="27" t="s">
        <v>252</v>
      </c>
      <c r="J70" s="28" t="s">
        <v>271</v>
      </c>
      <c r="K70" s="28" t="s">
        <v>388</v>
      </c>
      <c r="L70" s="17" t="s">
        <v>680</v>
      </c>
      <c r="M70" s="29" t="n">
        <v>4</v>
      </c>
      <c r="N70" s="29" t="n">
        <v>3</v>
      </c>
      <c r="O70" s="29" t="n">
        <v>3</v>
      </c>
      <c r="P70" s="29" t="n">
        <v>3</v>
      </c>
      <c r="Q70" s="29" t="n">
        <f aca="false">ROUND(AVERAGE(N70:P70),1)</f>
        <v>3</v>
      </c>
      <c r="R70" s="30" t="n">
        <f aca="false">ROUND((M70+Q70)/2,1)</f>
        <v>3.5</v>
      </c>
      <c r="S70" s="30" t="str">
        <f aca="false">IF(R70&gt;=3.8,"P1",IF(R70&gt;=3,"P2","P3"))</f>
        <v>P2</v>
      </c>
      <c r="T70" s="29" t="str">
        <f aca="false">IF(AND(M70&gt;=4,Q70&gt;=3.5),"Yes","No")</f>
        <v>No</v>
      </c>
      <c r="U70" s="31" t="s">
        <v>266</v>
      </c>
      <c r="V70" s="28" t="s">
        <v>49</v>
      </c>
      <c r="W70" s="17" t="s">
        <v>532</v>
      </c>
    </row>
    <row r="71" customFormat="false" ht="42" hidden="false" customHeight="true" outlineLevel="0" collapsed="false">
      <c r="A71" s="21" t="s">
        <v>91</v>
      </c>
      <c r="B71" s="22" t="s">
        <v>92</v>
      </c>
      <c r="C71" s="17" t="s">
        <v>628</v>
      </c>
      <c r="D71" s="17" t="s">
        <v>681</v>
      </c>
      <c r="E71" s="26" t="s">
        <v>682</v>
      </c>
      <c r="F71" s="17" t="s">
        <v>430</v>
      </c>
      <c r="G71" s="17" t="s">
        <v>683</v>
      </c>
      <c r="H71" s="17" t="s">
        <v>684</v>
      </c>
      <c r="I71" s="27" t="s">
        <v>252</v>
      </c>
      <c r="J71" s="28" t="s">
        <v>301</v>
      </c>
      <c r="K71" s="28" t="s">
        <v>520</v>
      </c>
      <c r="L71" s="17" t="s">
        <v>685</v>
      </c>
      <c r="M71" s="29" t="n">
        <v>4</v>
      </c>
      <c r="N71" s="29" t="n">
        <v>3</v>
      </c>
      <c r="O71" s="29" t="n">
        <v>3</v>
      </c>
      <c r="P71" s="29" t="n">
        <v>3</v>
      </c>
      <c r="Q71" s="29" t="n">
        <f aca="false">ROUND(AVERAGE(N71:P71),1)</f>
        <v>3</v>
      </c>
      <c r="R71" s="30" t="n">
        <f aca="false">ROUND((M71+Q71)/2,1)</f>
        <v>3.5</v>
      </c>
      <c r="S71" s="30" t="str">
        <f aca="false">IF(R71&gt;=3.8,"P1",IF(R71&gt;=3,"P2","P3"))</f>
        <v>P2</v>
      </c>
      <c r="T71" s="29" t="str">
        <f aca="false">IF(AND(M71&gt;=4,Q71&gt;=3.5),"Yes","No")</f>
        <v>No</v>
      </c>
      <c r="U71" s="31" t="s">
        <v>266</v>
      </c>
      <c r="V71" s="28" t="s">
        <v>49</v>
      </c>
      <c r="W71" s="17" t="s">
        <v>532</v>
      </c>
    </row>
    <row r="72" customFormat="false" ht="42" hidden="false" customHeight="true" outlineLevel="0" collapsed="false">
      <c r="A72" s="21" t="s">
        <v>91</v>
      </c>
      <c r="B72" s="22" t="s">
        <v>92</v>
      </c>
      <c r="C72" s="17" t="s">
        <v>686</v>
      </c>
      <c r="D72" s="17" t="s">
        <v>687</v>
      </c>
      <c r="E72" s="26" t="s">
        <v>688</v>
      </c>
      <c r="F72" s="17" t="s">
        <v>689</v>
      </c>
      <c r="G72" s="17" t="s">
        <v>690</v>
      </c>
      <c r="H72" s="17" t="s">
        <v>691</v>
      </c>
      <c r="I72" s="27" t="s">
        <v>252</v>
      </c>
      <c r="J72" s="28" t="s">
        <v>301</v>
      </c>
      <c r="K72" s="28" t="s">
        <v>520</v>
      </c>
      <c r="L72" s="17" t="s">
        <v>692</v>
      </c>
      <c r="M72" s="29" t="n">
        <v>4</v>
      </c>
      <c r="N72" s="29" t="n">
        <v>3</v>
      </c>
      <c r="O72" s="29" t="n">
        <v>3</v>
      </c>
      <c r="P72" s="29" t="n">
        <v>4</v>
      </c>
      <c r="Q72" s="29" t="n">
        <f aca="false">ROUND(AVERAGE(N72:P72),1)</f>
        <v>3.3</v>
      </c>
      <c r="R72" s="30" t="n">
        <f aca="false">ROUND((M72+Q72)/2,1)</f>
        <v>3.7</v>
      </c>
      <c r="S72" s="30" t="str">
        <f aca="false">IF(R72&gt;=3.8,"P1",IF(R72&gt;=3,"P2","P3"))</f>
        <v>P2</v>
      </c>
      <c r="T72" s="29" t="str">
        <f aca="false">IF(AND(M72&gt;=4,Q72&gt;=3.5),"Yes","No")</f>
        <v>No</v>
      </c>
      <c r="U72" s="31" t="s">
        <v>266</v>
      </c>
      <c r="V72" s="28" t="s">
        <v>49</v>
      </c>
      <c r="W72" s="17" t="s">
        <v>532</v>
      </c>
    </row>
    <row r="73" customFormat="false" ht="42" hidden="false" customHeight="true" outlineLevel="0" collapsed="false">
      <c r="A73" s="21" t="s">
        <v>91</v>
      </c>
      <c r="B73" s="22" t="s">
        <v>92</v>
      </c>
      <c r="C73" s="17" t="s">
        <v>281</v>
      </c>
      <c r="D73" s="17" t="s">
        <v>693</v>
      </c>
      <c r="E73" s="26" t="s">
        <v>694</v>
      </c>
      <c r="F73" s="17" t="s">
        <v>161</v>
      </c>
      <c r="G73" s="17" t="s">
        <v>695</v>
      </c>
      <c r="H73" s="17" t="s">
        <v>696</v>
      </c>
      <c r="I73" s="27" t="s">
        <v>252</v>
      </c>
      <c r="J73" s="28" t="s">
        <v>271</v>
      </c>
      <c r="K73" s="28" t="s">
        <v>254</v>
      </c>
      <c r="L73" s="17" t="s">
        <v>697</v>
      </c>
      <c r="M73" s="29" t="n">
        <v>3</v>
      </c>
      <c r="N73" s="29" t="n">
        <v>3</v>
      </c>
      <c r="O73" s="29" t="n">
        <v>3</v>
      </c>
      <c r="P73" s="29" t="n">
        <v>2</v>
      </c>
      <c r="Q73" s="29" t="n">
        <f aca="false">ROUND(AVERAGE(N73:P73),1)</f>
        <v>2.7</v>
      </c>
      <c r="R73" s="30" t="n">
        <f aca="false">ROUND((M73+Q73)/2,1)</f>
        <v>2.9</v>
      </c>
      <c r="S73" s="30" t="str">
        <f aca="false">IF(R73&gt;=3.8,"P1",IF(R73&gt;=3,"P2","P3"))</f>
        <v>P3</v>
      </c>
      <c r="T73" s="29" t="str">
        <f aca="false">IF(AND(M73&gt;=4,Q73&gt;=3.5),"Yes","No")</f>
        <v>No</v>
      </c>
      <c r="U73" s="28" t="s">
        <v>256</v>
      </c>
      <c r="V73" s="28" t="s">
        <v>257</v>
      </c>
      <c r="W73" s="17" t="s">
        <v>532</v>
      </c>
    </row>
    <row r="74" customFormat="false" ht="42" hidden="false" customHeight="true" outlineLevel="0" collapsed="false">
      <c r="A74" s="21" t="s">
        <v>91</v>
      </c>
      <c r="B74" s="22" t="s">
        <v>94</v>
      </c>
      <c r="C74" s="17" t="s">
        <v>698</v>
      </c>
      <c r="D74" s="17" t="s">
        <v>699</v>
      </c>
      <c r="E74" s="26" t="s">
        <v>700</v>
      </c>
      <c r="F74" s="17" t="s">
        <v>701</v>
      </c>
      <c r="G74" s="17" t="s">
        <v>702</v>
      </c>
      <c r="H74" s="17" t="s">
        <v>703</v>
      </c>
      <c r="I74" s="27" t="s">
        <v>252</v>
      </c>
      <c r="J74" s="28" t="s">
        <v>271</v>
      </c>
      <c r="K74" s="28" t="s">
        <v>388</v>
      </c>
      <c r="L74" s="17" t="s">
        <v>380</v>
      </c>
      <c r="M74" s="29" t="n">
        <v>5</v>
      </c>
      <c r="N74" s="29" t="n">
        <v>3</v>
      </c>
      <c r="O74" s="29" t="n">
        <v>3</v>
      </c>
      <c r="P74" s="29" t="n">
        <v>2</v>
      </c>
      <c r="Q74" s="29" t="n">
        <f aca="false">ROUND(AVERAGE(N74:P74),1)</f>
        <v>2.7</v>
      </c>
      <c r="R74" s="30" t="n">
        <f aca="false">ROUND((M74+Q74)/2,1)</f>
        <v>3.9</v>
      </c>
      <c r="S74" s="30" t="str">
        <f aca="false">IF(R74&gt;=3.8,"P1",IF(R74&gt;=3,"P2","P3"))</f>
        <v>P1</v>
      </c>
      <c r="T74" s="29" t="str">
        <f aca="false">IF(AND(M74&gt;=4,Q74&gt;=3.5),"Yes","No")</f>
        <v>No</v>
      </c>
      <c r="U74" s="31" t="s">
        <v>266</v>
      </c>
      <c r="V74" s="28" t="s">
        <v>49</v>
      </c>
      <c r="W74" s="17" t="s">
        <v>408</v>
      </c>
    </row>
    <row r="75" customFormat="false" ht="42" hidden="false" customHeight="true" outlineLevel="0" collapsed="false">
      <c r="A75" s="21" t="s">
        <v>91</v>
      </c>
      <c r="B75" s="22" t="s">
        <v>94</v>
      </c>
      <c r="C75" s="17" t="s">
        <v>698</v>
      </c>
      <c r="D75" s="17" t="s">
        <v>704</v>
      </c>
      <c r="E75" s="26" t="s">
        <v>705</v>
      </c>
      <c r="F75" s="17" t="s">
        <v>430</v>
      </c>
      <c r="G75" s="17" t="s">
        <v>706</v>
      </c>
      <c r="H75" s="17" t="s">
        <v>707</v>
      </c>
      <c r="I75" s="27" t="s">
        <v>252</v>
      </c>
      <c r="J75" s="28" t="s">
        <v>279</v>
      </c>
      <c r="K75" s="28" t="s">
        <v>388</v>
      </c>
      <c r="L75" s="17" t="s">
        <v>708</v>
      </c>
      <c r="M75" s="29" t="n">
        <v>5</v>
      </c>
      <c r="N75" s="29" t="n">
        <v>3</v>
      </c>
      <c r="O75" s="29" t="n">
        <v>3</v>
      </c>
      <c r="P75" s="29" t="n">
        <v>3</v>
      </c>
      <c r="Q75" s="29" t="n">
        <f aca="false">ROUND(AVERAGE(N75:P75),1)</f>
        <v>3</v>
      </c>
      <c r="R75" s="30" t="n">
        <f aca="false">ROUND((M75+Q75)/2,1)</f>
        <v>4</v>
      </c>
      <c r="S75" s="30" t="str">
        <f aca="false">IF(R75&gt;=3.8,"P1",IF(R75&gt;=3,"P2","P3"))</f>
        <v>P1</v>
      </c>
      <c r="T75" s="29" t="str">
        <f aca="false">IF(AND(M75&gt;=4,Q75&gt;=3.5),"Yes","No")</f>
        <v>No</v>
      </c>
      <c r="U75" s="31" t="s">
        <v>266</v>
      </c>
      <c r="V75" s="28" t="s">
        <v>49</v>
      </c>
      <c r="W75" s="17" t="s">
        <v>532</v>
      </c>
    </row>
    <row r="76" customFormat="false" ht="42" hidden="false" customHeight="true" outlineLevel="0" collapsed="false">
      <c r="A76" s="21" t="s">
        <v>91</v>
      </c>
      <c r="B76" s="22" t="s">
        <v>94</v>
      </c>
      <c r="C76" s="17" t="s">
        <v>698</v>
      </c>
      <c r="D76" s="17" t="s">
        <v>709</v>
      </c>
      <c r="E76" s="26" t="s">
        <v>710</v>
      </c>
      <c r="F76" s="17" t="s">
        <v>462</v>
      </c>
      <c r="G76" s="17" t="s">
        <v>711</v>
      </c>
      <c r="H76" s="17" t="s">
        <v>712</v>
      </c>
      <c r="I76" s="27" t="s">
        <v>252</v>
      </c>
      <c r="J76" s="28" t="s">
        <v>271</v>
      </c>
      <c r="K76" s="28" t="s">
        <v>388</v>
      </c>
      <c r="L76" s="17" t="s">
        <v>713</v>
      </c>
      <c r="M76" s="29" t="n">
        <v>5</v>
      </c>
      <c r="N76" s="29" t="n">
        <v>3</v>
      </c>
      <c r="O76" s="29" t="n">
        <v>3</v>
      </c>
      <c r="P76" s="29" t="n">
        <v>3</v>
      </c>
      <c r="Q76" s="29" t="n">
        <f aca="false">ROUND(AVERAGE(N76:P76),1)</f>
        <v>3</v>
      </c>
      <c r="R76" s="30" t="n">
        <f aca="false">ROUND((M76+Q76)/2,1)</f>
        <v>4</v>
      </c>
      <c r="S76" s="30" t="str">
        <f aca="false">IF(R76&gt;=3.8,"P1",IF(R76&gt;=3,"P2","P3"))</f>
        <v>P1</v>
      </c>
      <c r="T76" s="29" t="str">
        <f aca="false">IF(AND(M76&gt;=4,Q76&gt;=3.5),"Yes","No")</f>
        <v>No</v>
      </c>
      <c r="U76" s="31" t="s">
        <v>266</v>
      </c>
      <c r="V76" s="28" t="s">
        <v>49</v>
      </c>
      <c r="W76" s="17" t="s">
        <v>532</v>
      </c>
    </row>
    <row r="77" customFormat="false" ht="42" hidden="false" customHeight="true" outlineLevel="0" collapsed="false">
      <c r="A77" s="21" t="s">
        <v>91</v>
      </c>
      <c r="B77" s="22" t="s">
        <v>94</v>
      </c>
      <c r="C77" s="17" t="s">
        <v>714</v>
      </c>
      <c r="D77" s="17" t="s">
        <v>715</v>
      </c>
      <c r="E77" s="26" t="s">
        <v>716</v>
      </c>
      <c r="F77" s="17" t="s">
        <v>411</v>
      </c>
      <c r="G77" s="17" t="s">
        <v>717</v>
      </c>
      <c r="H77" s="17" t="s">
        <v>718</v>
      </c>
      <c r="I77" s="27" t="s">
        <v>252</v>
      </c>
      <c r="J77" s="28" t="s">
        <v>271</v>
      </c>
      <c r="K77" s="28" t="s">
        <v>388</v>
      </c>
      <c r="L77" s="17" t="s">
        <v>420</v>
      </c>
      <c r="M77" s="29" t="n">
        <v>4</v>
      </c>
      <c r="N77" s="29" t="n">
        <v>3</v>
      </c>
      <c r="O77" s="29" t="n">
        <v>3</v>
      </c>
      <c r="P77" s="29" t="n">
        <v>3</v>
      </c>
      <c r="Q77" s="29" t="n">
        <f aca="false">ROUND(AVERAGE(N77:P77),1)</f>
        <v>3</v>
      </c>
      <c r="R77" s="30" t="n">
        <f aca="false">ROUND((M77+Q77)/2,1)</f>
        <v>3.5</v>
      </c>
      <c r="S77" s="30" t="str">
        <f aca="false">IF(R77&gt;=3.8,"P1",IF(R77&gt;=3,"P2","P3"))</f>
        <v>P2</v>
      </c>
      <c r="T77" s="29" t="str">
        <f aca="false">IF(AND(M77&gt;=4,Q77&gt;=3.5),"Yes","No")</f>
        <v>No</v>
      </c>
      <c r="U77" s="31" t="s">
        <v>266</v>
      </c>
      <c r="V77" s="28" t="s">
        <v>49</v>
      </c>
      <c r="W77" s="17" t="s">
        <v>532</v>
      </c>
    </row>
    <row r="78" customFormat="false" ht="42" hidden="false" customHeight="true" outlineLevel="0" collapsed="false">
      <c r="A78" s="21" t="s">
        <v>91</v>
      </c>
      <c r="B78" s="22" t="s">
        <v>94</v>
      </c>
      <c r="C78" s="17" t="s">
        <v>719</v>
      </c>
      <c r="D78" s="17" t="s">
        <v>720</v>
      </c>
      <c r="E78" s="26" t="s">
        <v>721</v>
      </c>
      <c r="F78" s="17" t="s">
        <v>161</v>
      </c>
      <c r="G78" s="17" t="s">
        <v>722</v>
      </c>
      <c r="H78" s="17" t="s">
        <v>723</v>
      </c>
      <c r="I78" s="27" t="s">
        <v>252</v>
      </c>
      <c r="J78" s="28" t="s">
        <v>271</v>
      </c>
      <c r="K78" s="28" t="s">
        <v>254</v>
      </c>
      <c r="L78" s="17" t="s">
        <v>724</v>
      </c>
      <c r="M78" s="29" t="n">
        <v>3</v>
      </c>
      <c r="N78" s="29" t="n">
        <v>4</v>
      </c>
      <c r="O78" s="29" t="n">
        <v>3</v>
      </c>
      <c r="P78" s="29" t="n">
        <v>3</v>
      </c>
      <c r="Q78" s="29" t="n">
        <f aca="false">ROUND(AVERAGE(N78:P78),1)</f>
        <v>3.3</v>
      </c>
      <c r="R78" s="30" t="n">
        <f aca="false">ROUND((M78+Q78)/2,1)</f>
        <v>3.2</v>
      </c>
      <c r="S78" s="30" t="str">
        <f aca="false">IF(R78&gt;=3.8,"P1",IF(R78&gt;=3,"P2","P3"))</f>
        <v>P2</v>
      </c>
      <c r="T78" s="29" t="str">
        <f aca="false">IF(AND(M78&gt;=4,Q78&gt;=3.5),"Yes","No")</f>
        <v>No</v>
      </c>
      <c r="U78" s="31" t="s">
        <v>266</v>
      </c>
      <c r="V78" s="28" t="s">
        <v>49</v>
      </c>
      <c r="W78" s="17" t="s">
        <v>532</v>
      </c>
    </row>
    <row r="79" customFormat="false" ht="42" hidden="false" customHeight="true" outlineLevel="0" collapsed="false">
      <c r="A79" s="21" t="s">
        <v>91</v>
      </c>
      <c r="B79" s="22" t="s">
        <v>94</v>
      </c>
      <c r="C79" s="17" t="s">
        <v>725</v>
      </c>
      <c r="D79" s="17" t="s">
        <v>726</v>
      </c>
      <c r="E79" s="26" t="s">
        <v>727</v>
      </c>
      <c r="F79" s="17" t="s">
        <v>611</v>
      </c>
      <c r="G79" s="17" t="s">
        <v>728</v>
      </c>
      <c r="H79" s="17" t="s">
        <v>729</v>
      </c>
      <c r="I79" s="27" t="s">
        <v>252</v>
      </c>
      <c r="J79" s="28" t="s">
        <v>271</v>
      </c>
      <c r="K79" s="28" t="s">
        <v>388</v>
      </c>
      <c r="L79" s="17" t="s">
        <v>730</v>
      </c>
      <c r="M79" s="29" t="n">
        <v>4</v>
      </c>
      <c r="N79" s="29" t="n">
        <v>4</v>
      </c>
      <c r="O79" s="29" t="n">
        <v>3</v>
      </c>
      <c r="P79" s="29" t="n">
        <v>2</v>
      </c>
      <c r="Q79" s="29" t="n">
        <f aca="false">ROUND(AVERAGE(N79:P79),1)</f>
        <v>3</v>
      </c>
      <c r="R79" s="30" t="n">
        <f aca="false">ROUND((M79+Q79)/2,1)</f>
        <v>3.5</v>
      </c>
      <c r="S79" s="30" t="str">
        <f aca="false">IF(R79&gt;=3.8,"P1",IF(R79&gt;=3,"P2","P3"))</f>
        <v>P2</v>
      </c>
      <c r="T79" s="29" t="str">
        <f aca="false">IF(AND(M79&gt;=4,Q79&gt;=3.5),"Yes","No")</f>
        <v>No</v>
      </c>
      <c r="U79" s="31" t="s">
        <v>266</v>
      </c>
      <c r="V79" s="28" t="s">
        <v>49</v>
      </c>
      <c r="W79" s="17" t="s">
        <v>532</v>
      </c>
    </row>
    <row r="80" customFormat="false" ht="42" hidden="false" customHeight="true" outlineLevel="0" collapsed="false">
      <c r="A80" s="21" t="s">
        <v>91</v>
      </c>
      <c r="B80" s="22" t="s">
        <v>96</v>
      </c>
      <c r="C80" s="17" t="s">
        <v>731</v>
      </c>
      <c r="D80" s="17" t="s">
        <v>732</v>
      </c>
      <c r="E80" s="26" t="s">
        <v>733</v>
      </c>
      <c r="F80" s="17" t="s">
        <v>161</v>
      </c>
      <c r="G80" s="17" t="s">
        <v>734</v>
      </c>
      <c r="H80" s="17" t="s">
        <v>735</v>
      </c>
      <c r="I80" s="32" t="s">
        <v>319</v>
      </c>
      <c r="J80" s="28" t="s">
        <v>271</v>
      </c>
      <c r="K80" s="28" t="s">
        <v>254</v>
      </c>
      <c r="L80" s="17" t="s">
        <v>531</v>
      </c>
      <c r="M80" s="29" t="n">
        <v>3</v>
      </c>
      <c r="N80" s="29" t="n">
        <v>3</v>
      </c>
      <c r="O80" s="29" t="n">
        <v>3</v>
      </c>
      <c r="P80" s="29" t="n">
        <v>3</v>
      </c>
      <c r="Q80" s="29" t="n">
        <f aca="false">ROUND(AVERAGE(N80:P80),1)</f>
        <v>3</v>
      </c>
      <c r="R80" s="30" t="n">
        <f aca="false">ROUND((M80+Q80)/2,1)</f>
        <v>3</v>
      </c>
      <c r="S80" s="30" t="str">
        <f aca="false">IF(R80&gt;=3.8,"P1",IF(R80&gt;=3,"P2","P3"))</f>
        <v>P2</v>
      </c>
      <c r="T80" s="29" t="str">
        <f aca="false">IF(AND(M80&gt;=4,Q80&gt;=3.5),"Yes","No")</f>
        <v>No</v>
      </c>
      <c r="U80" s="31" t="s">
        <v>266</v>
      </c>
      <c r="V80" s="28" t="s">
        <v>49</v>
      </c>
      <c r="W80" s="17" t="s">
        <v>532</v>
      </c>
    </row>
    <row r="81" customFormat="false" ht="42" hidden="false" customHeight="true" outlineLevel="0" collapsed="false">
      <c r="A81" s="21" t="s">
        <v>91</v>
      </c>
      <c r="B81" s="22" t="s">
        <v>96</v>
      </c>
      <c r="C81" s="17" t="s">
        <v>736</v>
      </c>
      <c r="D81" s="17" t="s">
        <v>624</v>
      </c>
      <c r="E81" s="26" t="s">
        <v>737</v>
      </c>
      <c r="F81" s="17" t="s">
        <v>161</v>
      </c>
      <c r="G81" s="17" t="s">
        <v>704</v>
      </c>
      <c r="H81" s="17" t="s">
        <v>738</v>
      </c>
      <c r="I81" s="27" t="s">
        <v>252</v>
      </c>
      <c r="J81" s="28" t="s">
        <v>253</v>
      </c>
      <c r="K81" s="28" t="s">
        <v>388</v>
      </c>
      <c r="L81" s="17" t="s">
        <v>739</v>
      </c>
      <c r="M81" s="29" t="n">
        <v>4</v>
      </c>
      <c r="N81" s="29" t="n">
        <v>3</v>
      </c>
      <c r="O81" s="29" t="n">
        <v>3</v>
      </c>
      <c r="P81" s="29" t="n">
        <v>3</v>
      </c>
      <c r="Q81" s="29" t="n">
        <f aca="false">ROUND(AVERAGE(N81:P81),1)</f>
        <v>3</v>
      </c>
      <c r="R81" s="30" t="n">
        <f aca="false">ROUND((M81+Q81)/2,1)</f>
        <v>3.5</v>
      </c>
      <c r="S81" s="30" t="str">
        <f aca="false">IF(R81&gt;=3.8,"P1",IF(R81&gt;=3,"P2","P3"))</f>
        <v>P2</v>
      </c>
      <c r="T81" s="29" t="str">
        <f aca="false">IF(AND(M81&gt;=4,Q81&gt;=3.5),"Yes","No")</f>
        <v>No</v>
      </c>
      <c r="U81" s="31" t="s">
        <v>266</v>
      </c>
      <c r="V81" s="28" t="s">
        <v>49</v>
      </c>
      <c r="W81" s="17" t="s">
        <v>532</v>
      </c>
    </row>
    <row r="82" customFormat="false" ht="42" hidden="false" customHeight="true" outlineLevel="0" collapsed="false">
      <c r="A82" s="21" t="s">
        <v>91</v>
      </c>
      <c r="B82" s="22" t="s">
        <v>96</v>
      </c>
      <c r="C82" s="17" t="s">
        <v>740</v>
      </c>
      <c r="D82" s="17" t="s">
        <v>741</v>
      </c>
      <c r="E82" s="26" t="s">
        <v>742</v>
      </c>
      <c r="F82" s="17" t="s">
        <v>161</v>
      </c>
      <c r="G82" s="17" t="s">
        <v>743</v>
      </c>
      <c r="H82" s="17" t="s">
        <v>744</v>
      </c>
      <c r="I82" s="27" t="s">
        <v>252</v>
      </c>
      <c r="J82" s="28" t="s">
        <v>253</v>
      </c>
      <c r="K82" s="28" t="s">
        <v>520</v>
      </c>
      <c r="L82" s="17" t="s">
        <v>745</v>
      </c>
      <c r="M82" s="29" t="n">
        <v>3</v>
      </c>
      <c r="N82" s="29" t="n">
        <v>3</v>
      </c>
      <c r="O82" s="29" t="n">
        <v>3</v>
      </c>
      <c r="P82" s="29" t="n">
        <v>3</v>
      </c>
      <c r="Q82" s="29" t="n">
        <f aca="false">ROUND(AVERAGE(N82:P82),1)</f>
        <v>3</v>
      </c>
      <c r="R82" s="30" t="n">
        <f aca="false">ROUND((M82+Q82)/2,1)</f>
        <v>3</v>
      </c>
      <c r="S82" s="30" t="str">
        <f aca="false">IF(R82&gt;=3.8,"P1",IF(R82&gt;=3,"P2","P3"))</f>
        <v>P2</v>
      </c>
      <c r="T82" s="29" t="str">
        <f aca="false">IF(AND(M82&gt;=4,Q82&gt;=3.5),"Yes","No")</f>
        <v>No</v>
      </c>
      <c r="U82" s="28" t="s">
        <v>256</v>
      </c>
      <c r="V82" s="28" t="s">
        <v>257</v>
      </c>
      <c r="W82" s="17" t="s">
        <v>532</v>
      </c>
    </row>
    <row r="83" customFormat="false" ht="42" hidden="false" customHeight="true" outlineLevel="0" collapsed="false">
      <c r="A83" s="21" t="s">
        <v>91</v>
      </c>
      <c r="B83" s="22" t="s">
        <v>98</v>
      </c>
      <c r="C83" s="17" t="s">
        <v>746</v>
      </c>
      <c r="D83" s="17" t="s">
        <v>747</v>
      </c>
      <c r="E83" s="26" t="s">
        <v>748</v>
      </c>
      <c r="F83" s="17" t="s">
        <v>430</v>
      </c>
      <c r="G83" s="17" t="s">
        <v>399</v>
      </c>
      <c r="H83" s="17" t="s">
        <v>749</v>
      </c>
      <c r="I83" s="27" t="s">
        <v>252</v>
      </c>
      <c r="J83" s="28" t="s">
        <v>279</v>
      </c>
      <c r="K83" s="28" t="s">
        <v>254</v>
      </c>
      <c r="L83" s="17" t="s">
        <v>750</v>
      </c>
      <c r="M83" s="29" t="n">
        <v>3</v>
      </c>
      <c r="N83" s="29" t="n">
        <v>3</v>
      </c>
      <c r="O83" s="29" t="n">
        <v>3</v>
      </c>
      <c r="P83" s="29" t="n">
        <v>3</v>
      </c>
      <c r="Q83" s="29" t="n">
        <f aca="false">ROUND(AVERAGE(N83:P83),1)</f>
        <v>3</v>
      </c>
      <c r="R83" s="30" t="n">
        <f aca="false">ROUND((M83+Q83)/2,1)</f>
        <v>3</v>
      </c>
      <c r="S83" s="30" t="str">
        <f aca="false">IF(R83&gt;=3.8,"P1",IF(R83&gt;=3,"P2","P3"))</f>
        <v>P2</v>
      </c>
      <c r="T83" s="29" t="str">
        <f aca="false">IF(AND(M83&gt;=4,Q83&gt;=3.5),"Yes","No")</f>
        <v>No</v>
      </c>
      <c r="U83" s="31" t="s">
        <v>266</v>
      </c>
      <c r="V83" s="28" t="s">
        <v>49</v>
      </c>
      <c r="W83" s="17" t="s">
        <v>532</v>
      </c>
    </row>
    <row r="84" customFormat="false" ht="42" hidden="false" customHeight="true" outlineLevel="0" collapsed="false">
      <c r="A84" s="21" t="s">
        <v>91</v>
      </c>
      <c r="B84" s="22" t="s">
        <v>98</v>
      </c>
      <c r="C84" s="17" t="s">
        <v>746</v>
      </c>
      <c r="D84" s="17" t="s">
        <v>751</v>
      </c>
      <c r="E84" s="26" t="s">
        <v>752</v>
      </c>
      <c r="F84" s="17" t="s">
        <v>161</v>
      </c>
      <c r="G84" s="17" t="s">
        <v>753</v>
      </c>
      <c r="H84" s="17" t="s">
        <v>754</v>
      </c>
      <c r="I84" s="32" t="s">
        <v>319</v>
      </c>
      <c r="J84" s="28" t="s">
        <v>301</v>
      </c>
      <c r="K84" s="28" t="s">
        <v>254</v>
      </c>
      <c r="L84" s="17" t="s">
        <v>755</v>
      </c>
      <c r="M84" s="29" t="n">
        <v>2</v>
      </c>
      <c r="N84" s="29" t="n">
        <v>3</v>
      </c>
      <c r="O84" s="29" t="n">
        <v>3</v>
      </c>
      <c r="P84" s="29" t="n">
        <v>3</v>
      </c>
      <c r="Q84" s="29" t="n">
        <f aca="false">ROUND(AVERAGE(N84:P84),1)</f>
        <v>3</v>
      </c>
      <c r="R84" s="30" t="n">
        <f aca="false">ROUND((M84+Q84)/2,1)</f>
        <v>2.5</v>
      </c>
      <c r="S84" s="30" t="str">
        <f aca="false">IF(R84&gt;=3.8,"P1",IF(R84&gt;=3,"P2","P3"))</f>
        <v>P3</v>
      </c>
      <c r="T84" s="29" t="str">
        <f aca="false">IF(AND(M84&gt;=4,Q84&gt;=3.5),"Yes","No")</f>
        <v>No</v>
      </c>
      <c r="U84" s="31" t="s">
        <v>266</v>
      </c>
      <c r="V84" s="28" t="s">
        <v>49</v>
      </c>
      <c r="W84" s="17" t="s">
        <v>532</v>
      </c>
    </row>
    <row r="85" customFormat="false" ht="42" hidden="false" customHeight="true" outlineLevel="0" collapsed="false">
      <c r="A85" s="21" t="s">
        <v>91</v>
      </c>
      <c r="B85" s="22" t="s">
        <v>98</v>
      </c>
      <c r="C85" s="17" t="s">
        <v>656</v>
      </c>
      <c r="D85" s="17" t="s">
        <v>756</v>
      </c>
      <c r="E85" s="26" t="s">
        <v>757</v>
      </c>
      <c r="F85" s="17" t="s">
        <v>161</v>
      </c>
      <c r="G85" s="17" t="s">
        <v>758</v>
      </c>
      <c r="H85" s="17" t="s">
        <v>759</v>
      </c>
      <c r="I85" s="27" t="s">
        <v>252</v>
      </c>
      <c r="J85" s="28" t="s">
        <v>301</v>
      </c>
      <c r="K85" s="28" t="s">
        <v>254</v>
      </c>
      <c r="L85" s="17" t="s">
        <v>760</v>
      </c>
      <c r="M85" s="29" t="n">
        <v>3</v>
      </c>
      <c r="N85" s="29" t="n">
        <v>3</v>
      </c>
      <c r="O85" s="29" t="n">
        <v>3</v>
      </c>
      <c r="P85" s="29" t="n">
        <v>3</v>
      </c>
      <c r="Q85" s="29" t="n">
        <f aca="false">ROUND(AVERAGE(N85:P85),1)</f>
        <v>3</v>
      </c>
      <c r="R85" s="30" t="n">
        <f aca="false">ROUND((M85+Q85)/2,1)</f>
        <v>3</v>
      </c>
      <c r="S85" s="30" t="str">
        <f aca="false">IF(R85&gt;=3.8,"P1",IF(R85&gt;=3,"P2","P3"))</f>
        <v>P2</v>
      </c>
      <c r="T85" s="29" t="str">
        <f aca="false">IF(AND(M85&gt;=4,Q85&gt;=3.5),"Yes","No")</f>
        <v>No</v>
      </c>
      <c r="U85" s="31" t="s">
        <v>266</v>
      </c>
      <c r="V85" s="28" t="s">
        <v>49</v>
      </c>
      <c r="W85" s="17" t="s">
        <v>532</v>
      </c>
    </row>
    <row r="86" customFormat="false" ht="42" hidden="false" customHeight="true" outlineLevel="0" collapsed="false">
      <c r="A86" s="21" t="s">
        <v>91</v>
      </c>
      <c r="B86" s="22" t="s">
        <v>100</v>
      </c>
      <c r="C86" s="17" t="s">
        <v>761</v>
      </c>
      <c r="D86" s="17" t="s">
        <v>762</v>
      </c>
      <c r="E86" s="26" t="s">
        <v>763</v>
      </c>
      <c r="F86" s="17" t="s">
        <v>345</v>
      </c>
      <c r="G86" s="17" t="s">
        <v>764</v>
      </c>
      <c r="H86" s="17" t="s">
        <v>765</v>
      </c>
      <c r="I86" s="27" t="s">
        <v>252</v>
      </c>
      <c r="J86" s="28" t="s">
        <v>301</v>
      </c>
      <c r="K86" s="28" t="s">
        <v>331</v>
      </c>
      <c r="L86" s="17" t="s">
        <v>766</v>
      </c>
      <c r="M86" s="29" t="n">
        <v>4</v>
      </c>
      <c r="N86" s="29" t="n">
        <v>3</v>
      </c>
      <c r="O86" s="29" t="n">
        <v>3</v>
      </c>
      <c r="P86" s="29" t="n">
        <v>2</v>
      </c>
      <c r="Q86" s="29" t="n">
        <f aca="false">ROUND(AVERAGE(N86:P86),1)</f>
        <v>2.7</v>
      </c>
      <c r="R86" s="30" t="n">
        <f aca="false">ROUND((M86+Q86)/2,1)</f>
        <v>3.4</v>
      </c>
      <c r="S86" s="30" t="str">
        <f aca="false">IF(R86&gt;=3.8,"P1",IF(R86&gt;=3,"P2","P3"))</f>
        <v>P2</v>
      </c>
      <c r="T86" s="29" t="str">
        <f aca="false">IF(AND(M86&gt;=4,Q86&gt;=3.5),"Yes","No")</f>
        <v>No</v>
      </c>
      <c r="U86" s="31" t="s">
        <v>266</v>
      </c>
      <c r="V86" s="28" t="s">
        <v>49</v>
      </c>
      <c r="W86" s="17" t="s">
        <v>532</v>
      </c>
    </row>
    <row r="87" customFormat="false" ht="42" hidden="false" customHeight="true" outlineLevel="0" collapsed="false">
      <c r="A87" s="21" t="s">
        <v>91</v>
      </c>
      <c r="B87" s="22" t="s">
        <v>100</v>
      </c>
      <c r="C87" s="17" t="s">
        <v>499</v>
      </c>
      <c r="D87" s="17" t="s">
        <v>767</v>
      </c>
      <c r="E87" s="26" t="s">
        <v>768</v>
      </c>
      <c r="F87" s="17" t="s">
        <v>611</v>
      </c>
      <c r="G87" s="17" t="s">
        <v>769</v>
      </c>
      <c r="H87" s="17" t="s">
        <v>770</v>
      </c>
      <c r="I87" s="32" t="s">
        <v>319</v>
      </c>
      <c r="J87" s="28" t="s">
        <v>339</v>
      </c>
      <c r="K87" s="28" t="s">
        <v>331</v>
      </c>
      <c r="L87" s="17" t="s">
        <v>504</v>
      </c>
      <c r="M87" s="29" t="n">
        <v>3</v>
      </c>
      <c r="N87" s="29" t="n">
        <v>3</v>
      </c>
      <c r="O87" s="29" t="n">
        <v>2</v>
      </c>
      <c r="P87" s="29" t="n">
        <v>2</v>
      </c>
      <c r="Q87" s="29" t="n">
        <f aca="false">ROUND(AVERAGE(N87:P87),1)</f>
        <v>2.3</v>
      </c>
      <c r="R87" s="30" t="n">
        <f aca="false">ROUND((M87+Q87)/2,1)</f>
        <v>2.7</v>
      </c>
      <c r="S87" s="30" t="str">
        <f aca="false">IF(R87&gt;=3.8,"P1",IF(R87&gt;=3,"P2","P3"))</f>
        <v>P3</v>
      </c>
      <c r="T87" s="29" t="str">
        <f aca="false">IF(AND(M87&gt;=4,Q87&gt;=3.5),"Yes","No")</f>
        <v>No</v>
      </c>
      <c r="U87" s="31" t="s">
        <v>266</v>
      </c>
      <c r="V87" s="28" t="s">
        <v>49</v>
      </c>
      <c r="W87" s="17" t="s">
        <v>532</v>
      </c>
    </row>
    <row r="88" customFormat="false" ht="42" hidden="false" customHeight="true" outlineLevel="0" collapsed="false">
      <c r="A88" s="21" t="s">
        <v>91</v>
      </c>
      <c r="B88" s="22" t="s">
        <v>100</v>
      </c>
      <c r="C88" s="17" t="s">
        <v>771</v>
      </c>
      <c r="D88" s="17" t="s">
        <v>561</v>
      </c>
      <c r="E88" s="26" t="s">
        <v>772</v>
      </c>
      <c r="F88" s="17" t="s">
        <v>611</v>
      </c>
      <c r="G88" s="17" t="s">
        <v>773</v>
      </c>
      <c r="H88" s="17" t="s">
        <v>774</v>
      </c>
      <c r="I88" s="32" t="s">
        <v>319</v>
      </c>
      <c r="J88" s="28" t="s">
        <v>339</v>
      </c>
      <c r="K88" s="28" t="s">
        <v>331</v>
      </c>
      <c r="L88" s="17" t="s">
        <v>531</v>
      </c>
      <c r="M88" s="29" t="n">
        <v>3</v>
      </c>
      <c r="N88" s="29" t="n">
        <v>3</v>
      </c>
      <c r="O88" s="29" t="n">
        <v>2</v>
      </c>
      <c r="P88" s="29" t="n">
        <v>2</v>
      </c>
      <c r="Q88" s="29" t="n">
        <f aca="false">ROUND(AVERAGE(N88:P88),1)</f>
        <v>2.3</v>
      </c>
      <c r="R88" s="30" t="n">
        <f aca="false">ROUND((M88+Q88)/2,1)</f>
        <v>2.7</v>
      </c>
      <c r="S88" s="30" t="str">
        <f aca="false">IF(R88&gt;=3.8,"P1",IF(R88&gt;=3,"P2","P3"))</f>
        <v>P3</v>
      </c>
      <c r="T88" s="29" t="str">
        <f aca="false">IF(AND(M88&gt;=4,Q88&gt;=3.5),"Yes","No")</f>
        <v>No</v>
      </c>
      <c r="U88" s="28" t="s">
        <v>256</v>
      </c>
      <c r="V88" s="28" t="s">
        <v>257</v>
      </c>
      <c r="W88" s="17" t="s">
        <v>532</v>
      </c>
    </row>
    <row r="89" customFormat="false" ht="42" hidden="false" customHeight="true" outlineLevel="0" collapsed="false">
      <c r="A89" s="21" t="s">
        <v>91</v>
      </c>
      <c r="B89" s="22" t="s">
        <v>102</v>
      </c>
      <c r="C89" s="17" t="s">
        <v>775</v>
      </c>
      <c r="D89" s="17" t="s">
        <v>776</v>
      </c>
      <c r="E89" s="26" t="s">
        <v>777</v>
      </c>
      <c r="F89" s="17" t="s">
        <v>370</v>
      </c>
      <c r="G89" s="17" t="s">
        <v>778</v>
      </c>
      <c r="H89" s="17" t="s">
        <v>779</v>
      </c>
      <c r="I89" s="27" t="s">
        <v>252</v>
      </c>
      <c r="J89" s="28" t="s">
        <v>279</v>
      </c>
      <c r="K89" s="28" t="s">
        <v>388</v>
      </c>
      <c r="L89" s="17" t="s">
        <v>780</v>
      </c>
      <c r="M89" s="29" t="n">
        <v>4</v>
      </c>
      <c r="N89" s="29" t="n">
        <v>3</v>
      </c>
      <c r="O89" s="29" t="n">
        <v>3</v>
      </c>
      <c r="P89" s="29" t="n">
        <v>3</v>
      </c>
      <c r="Q89" s="29" t="n">
        <f aca="false">ROUND(AVERAGE(N89:P89),1)</f>
        <v>3</v>
      </c>
      <c r="R89" s="30" t="n">
        <f aca="false">ROUND((M89+Q89)/2,1)</f>
        <v>3.5</v>
      </c>
      <c r="S89" s="30" t="str">
        <f aca="false">IF(R89&gt;=3.8,"P1",IF(R89&gt;=3,"P2","P3"))</f>
        <v>P2</v>
      </c>
      <c r="T89" s="29" t="str">
        <f aca="false">IF(AND(M89&gt;=4,Q89&gt;=3.5),"Yes","No")</f>
        <v>No</v>
      </c>
      <c r="U89" s="31" t="s">
        <v>266</v>
      </c>
      <c r="V89" s="28" t="s">
        <v>49</v>
      </c>
      <c r="W89" s="17" t="s">
        <v>532</v>
      </c>
    </row>
    <row r="90" customFormat="false" ht="42" hidden="false" customHeight="true" outlineLevel="0" collapsed="false">
      <c r="A90" s="21" t="s">
        <v>91</v>
      </c>
      <c r="B90" s="22" t="s">
        <v>102</v>
      </c>
      <c r="C90" s="17" t="s">
        <v>781</v>
      </c>
      <c r="D90" s="17" t="s">
        <v>782</v>
      </c>
      <c r="E90" s="26" t="s">
        <v>783</v>
      </c>
      <c r="F90" s="17" t="s">
        <v>784</v>
      </c>
      <c r="G90" s="17" t="s">
        <v>785</v>
      </c>
      <c r="H90" s="17" t="s">
        <v>786</v>
      </c>
      <c r="I90" s="27" t="s">
        <v>252</v>
      </c>
      <c r="J90" s="28" t="s">
        <v>279</v>
      </c>
      <c r="K90" s="28" t="s">
        <v>254</v>
      </c>
      <c r="L90" s="17" t="s">
        <v>787</v>
      </c>
      <c r="M90" s="29" t="n">
        <v>3</v>
      </c>
      <c r="N90" s="29" t="n">
        <v>3</v>
      </c>
      <c r="O90" s="29" t="n">
        <v>3</v>
      </c>
      <c r="P90" s="29" t="n">
        <v>4</v>
      </c>
      <c r="Q90" s="29" t="n">
        <f aca="false">ROUND(AVERAGE(N90:P90),1)</f>
        <v>3.3</v>
      </c>
      <c r="R90" s="30" t="n">
        <f aca="false">ROUND((M90+Q90)/2,1)</f>
        <v>3.2</v>
      </c>
      <c r="S90" s="30" t="str">
        <f aca="false">IF(R90&gt;=3.8,"P1",IF(R90&gt;=3,"P2","P3"))</f>
        <v>P2</v>
      </c>
      <c r="T90" s="29" t="str">
        <f aca="false">IF(AND(M90&gt;=4,Q90&gt;=3.5),"Yes","No")</f>
        <v>No</v>
      </c>
      <c r="U90" s="31" t="s">
        <v>266</v>
      </c>
      <c r="V90" s="28" t="s">
        <v>49</v>
      </c>
      <c r="W90" s="17" t="s">
        <v>532</v>
      </c>
    </row>
    <row r="91" customFormat="false" ht="42" hidden="false" customHeight="true" outlineLevel="0" collapsed="false">
      <c r="A91" s="21" t="s">
        <v>91</v>
      </c>
      <c r="B91" s="22" t="s">
        <v>102</v>
      </c>
      <c r="C91" s="17" t="s">
        <v>788</v>
      </c>
      <c r="D91" s="17" t="s">
        <v>789</v>
      </c>
      <c r="E91" s="26" t="s">
        <v>790</v>
      </c>
      <c r="F91" s="17" t="s">
        <v>411</v>
      </c>
      <c r="G91" s="17" t="s">
        <v>791</v>
      </c>
      <c r="H91" s="17" t="s">
        <v>792</v>
      </c>
      <c r="I91" s="27" t="s">
        <v>252</v>
      </c>
      <c r="J91" s="28" t="s">
        <v>301</v>
      </c>
      <c r="K91" s="28" t="s">
        <v>264</v>
      </c>
      <c r="L91" s="17" t="s">
        <v>793</v>
      </c>
      <c r="M91" s="29" t="n">
        <v>2</v>
      </c>
      <c r="N91" s="29" t="n">
        <v>3</v>
      </c>
      <c r="O91" s="29" t="n">
        <v>3</v>
      </c>
      <c r="P91" s="29" t="n">
        <v>4</v>
      </c>
      <c r="Q91" s="29" t="n">
        <f aca="false">ROUND(AVERAGE(N91:P91),1)</f>
        <v>3.3</v>
      </c>
      <c r="R91" s="30" t="n">
        <f aca="false">ROUND((M91+Q91)/2,1)</f>
        <v>2.7</v>
      </c>
      <c r="S91" s="30" t="str">
        <f aca="false">IF(R91&gt;=3.8,"P1",IF(R91&gt;=3,"P2","P3"))</f>
        <v>P3</v>
      </c>
      <c r="T91" s="29" t="str">
        <f aca="false">IF(AND(M91&gt;=4,Q91&gt;=3.5),"Yes","No")</f>
        <v>No</v>
      </c>
      <c r="U91" s="28" t="s">
        <v>256</v>
      </c>
      <c r="V91" s="28" t="s">
        <v>257</v>
      </c>
      <c r="W91" s="17" t="s">
        <v>532</v>
      </c>
    </row>
    <row r="92" customFormat="false" ht="42" hidden="false" customHeight="true" outlineLevel="0" collapsed="false">
      <c r="A92" s="21" t="s">
        <v>91</v>
      </c>
      <c r="B92" s="22" t="s">
        <v>104</v>
      </c>
      <c r="C92" s="17" t="s">
        <v>794</v>
      </c>
      <c r="D92" s="17" t="s">
        <v>795</v>
      </c>
      <c r="E92" s="26" t="s">
        <v>796</v>
      </c>
      <c r="F92" s="17" t="s">
        <v>411</v>
      </c>
      <c r="G92" s="17" t="s">
        <v>797</v>
      </c>
      <c r="H92" s="17" t="s">
        <v>798</v>
      </c>
      <c r="I92" s="27" t="s">
        <v>252</v>
      </c>
      <c r="J92" s="28" t="s">
        <v>253</v>
      </c>
      <c r="K92" s="28" t="s">
        <v>520</v>
      </c>
      <c r="L92" s="17" t="s">
        <v>799</v>
      </c>
      <c r="M92" s="29" t="n">
        <v>4</v>
      </c>
      <c r="N92" s="29" t="n">
        <v>3</v>
      </c>
      <c r="O92" s="29" t="n">
        <v>3</v>
      </c>
      <c r="P92" s="29" t="n">
        <v>4</v>
      </c>
      <c r="Q92" s="29" t="n">
        <f aca="false">ROUND(AVERAGE(N92:P92),1)</f>
        <v>3.3</v>
      </c>
      <c r="R92" s="30" t="n">
        <f aca="false">ROUND((M92+Q92)/2,1)</f>
        <v>3.7</v>
      </c>
      <c r="S92" s="30" t="str">
        <f aca="false">IF(R92&gt;=3.8,"P1",IF(R92&gt;=3,"P2","P3"))</f>
        <v>P2</v>
      </c>
      <c r="T92" s="29" t="str">
        <f aca="false">IF(AND(M92&gt;=4,Q92&gt;=3.5),"Yes","No")</f>
        <v>No</v>
      </c>
      <c r="U92" s="31" t="s">
        <v>266</v>
      </c>
      <c r="V92" s="28" t="s">
        <v>49</v>
      </c>
      <c r="W92" s="17" t="s">
        <v>532</v>
      </c>
    </row>
    <row r="93" customFormat="false" ht="42" hidden="false" customHeight="true" outlineLevel="0" collapsed="false">
      <c r="A93" s="21" t="s">
        <v>91</v>
      </c>
      <c r="B93" s="22" t="s">
        <v>104</v>
      </c>
      <c r="C93" s="17" t="s">
        <v>800</v>
      </c>
      <c r="D93" s="17" t="s">
        <v>801</v>
      </c>
      <c r="E93" s="26" t="s">
        <v>802</v>
      </c>
      <c r="F93" s="17" t="s">
        <v>411</v>
      </c>
      <c r="G93" s="17" t="s">
        <v>596</v>
      </c>
      <c r="H93" s="17" t="s">
        <v>803</v>
      </c>
      <c r="I93" s="27" t="s">
        <v>252</v>
      </c>
      <c r="J93" s="28" t="s">
        <v>271</v>
      </c>
      <c r="K93" s="28" t="s">
        <v>388</v>
      </c>
      <c r="L93" s="17" t="s">
        <v>804</v>
      </c>
      <c r="M93" s="29" t="n">
        <v>3</v>
      </c>
      <c r="N93" s="29" t="n">
        <v>3</v>
      </c>
      <c r="O93" s="29" t="n">
        <v>3</v>
      </c>
      <c r="P93" s="29" t="n">
        <v>3</v>
      </c>
      <c r="Q93" s="29" t="n">
        <f aca="false">ROUND(AVERAGE(N93:P93),1)</f>
        <v>3</v>
      </c>
      <c r="R93" s="30" t="n">
        <f aca="false">ROUND((M93+Q93)/2,1)</f>
        <v>3</v>
      </c>
      <c r="S93" s="30" t="str">
        <f aca="false">IF(R93&gt;=3.8,"P1",IF(R93&gt;=3,"P2","P3"))</f>
        <v>P2</v>
      </c>
      <c r="T93" s="29" t="str">
        <f aca="false">IF(AND(M93&gt;=4,Q93&gt;=3.5),"Yes","No")</f>
        <v>No</v>
      </c>
      <c r="U93" s="31" t="s">
        <v>266</v>
      </c>
      <c r="V93" s="28" t="s">
        <v>49</v>
      </c>
      <c r="W93" s="17" t="s">
        <v>532</v>
      </c>
    </row>
    <row r="94" customFormat="false" ht="42" hidden="false" customHeight="true" outlineLevel="0" collapsed="false">
      <c r="A94" s="21" t="s">
        <v>91</v>
      </c>
      <c r="B94" s="22" t="s">
        <v>104</v>
      </c>
      <c r="C94" s="17" t="s">
        <v>805</v>
      </c>
      <c r="D94" s="17" t="s">
        <v>594</v>
      </c>
      <c r="E94" s="26" t="s">
        <v>806</v>
      </c>
      <c r="F94" s="17" t="s">
        <v>807</v>
      </c>
      <c r="G94" s="17" t="s">
        <v>808</v>
      </c>
      <c r="H94" s="17" t="s">
        <v>809</v>
      </c>
      <c r="I94" s="27" t="s">
        <v>252</v>
      </c>
      <c r="J94" s="28" t="s">
        <v>271</v>
      </c>
      <c r="K94" s="28" t="s">
        <v>520</v>
      </c>
      <c r="L94" s="17" t="s">
        <v>810</v>
      </c>
      <c r="M94" s="29" t="n">
        <v>3</v>
      </c>
      <c r="N94" s="29" t="n">
        <v>3</v>
      </c>
      <c r="O94" s="29" t="n">
        <v>3</v>
      </c>
      <c r="P94" s="29" t="n">
        <v>3</v>
      </c>
      <c r="Q94" s="29" t="n">
        <f aca="false">ROUND(AVERAGE(N94:P94),1)</f>
        <v>3</v>
      </c>
      <c r="R94" s="30" t="n">
        <f aca="false">ROUND((M94+Q94)/2,1)</f>
        <v>3</v>
      </c>
      <c r="S94" s="30" t="str">
        <f aca="false">IF(R94&gt;=3.8,"P1",IF(R94&gt;=3,"P2","P3"))</f>
        <v>P2</v>
      </c>
      <c r="T94" s="29" t="str">
        <f aca="false">IF(AND(M94&gt;=4,Q94&gt;=3.5),"Yes","No")</f>
        <v>No</v>
      </c>
      <c r="U94" s="28" t="s">
        <v>256</v>
      </c>
      <c r="V94" s="28" t="s">
        <v>257</v>
      </c>
      <c r="W94" s="17" t="s">
        <v>532</v>
      </c>
    </row>
    <row r="95" customFormat="false" ht="42" hidden="false" customHeight="true" outlineLevel="0" collapsed="false">
      <c r="A95" s="23" t="s">
        <v>106</v>
      </c>
      <c r="B95" s="24" t="s">
        <v>107</v>
      </c>
      <c r="C95" s="17" t="s">
        <v>811</v>
      </c>
      <c r="D95" s="17" t="s">
        <v>281</v>
      </c>
      <c r="E95" s="26" t="s">
        <v>812</v>
      </c>
      <c r="F95" s="17" t="s">
        <v>430</v>
      </c>
      <c r="G95" s="17" t="s">
        <v>813</v>
      </c>
      <c r="H95" s="17" t="s">
        <v>814</v>
      </c>
      <c r="I95" s="27" t="s">
        <v>252</v>
      </c>
      <c r="J95" s="28" t="s">
        <v>271</v>
      </c>
      <c r="K95" s="28" t="s">
        <v>254</v>
      </c>
      <c r="L95" s="17" t="s">
        <v>439</v>
      </c>
      <c r="M95" s="29" t="n">
        <v>5</v>
      </c>
      <c r="N95" s="29" t="n">
        <v>3</v>
      </c>
      <c r="O95" s="29" t="n">
        <v>3</v>
      </c>
      <c r="P95" s="29" t="n">
        <v>2</v>
      </c>
      <c r="Q95" s="29" t="n">
        <f aca="false">ROUND(AVERAGE(N95:P95),1)</f>
        <v>2.7</v>
      </c>
      <c r="R95" s="30" t="n">
        <f aca="false">ROUND((M95+Q95)/2,1)</f>
        <v>3.9</v>
      </c>
      <c r="S95" s="30" t="str">
        <f aca="false">IF(R95&gt;=3.8,"P1",IF(R95&gt;=3,"P2","P3"))</f>
        <v>P1</v>
      </c>
      <c r="T95" s="29" t="str">
        <f aca="false">IF(AND(M95&gt;=4,Q95&gt;=3.5),"Yes","No")</f>
        <v>No</v>
      </c>
      <c r="U95" s="31" t="s">
        <v>266</v>
      </c>
      <c r="V95" s="28" t="s">
        <v>49</v>
      </c>
      <c r="W95" s="17" t="s">
        <v>408</v>
      </c>
    </row>
    <row r="96" customFormat="false" ht="42" hidden="false" customHeight="true" outlineLevel="0" collapsed="false">
      <c r="A96" s="23" t="s">
        <v>106</v>
      </c>
      <c r="B96" s="24" t="s">
        <v>107</v>
      </c>
      <c r="C96" s="17" t="s">
        <v>811</v>
      </c>
      <c r="D96" s="17" t="s">
        <v>815</v>
      </c>
      <c r="E96" s="26" t="s">
        <v>816</v>
      </c>
      <c r="F96" s="17" t="s">
        <v>161</v>
      </c>
      <c r="G96" s="17" t="s">
        <v>817</v>
      </c>
      <c r="H96" s="17" t="s">
        <v>818</v>
      </c>
      <c r="I96" s="27" t="s">
        <v>252</v>
      </c>
      <c r="J96" s="28" t="s">
        <v>301</v>
      </c>
      <c r="K96" s="28" t="s">
        <v>331</v>
      </c>
      <c r="L96" s="17" t="s">
        <v>414</v>
      </c>
      <c r="M96" s="29" t="n">
        <v>4</v>
      </c>
      <c r="N96" s="29" t="n">
        <v>3</v>
      </c>
      <c r="O96" s="29" t="n">
        <v>3</v>
      </c>
      <c r="P96" s="29" t="n">
        <v>2</v>
      </c>
      <c r="Q96" s="29" t="n">
        <f aca="false">ROUND(AVERAGE(N96:P96),1)</f>
        <v>2.7</v>
      </c>
      <c r="R96" s="30" t="n">
        <f aca="false">ROUND((M96+Q96)/2,1)</f>
        <v>3.4</v>
      </c>
      <c r="S96" s="30" t="str">
        <f aca="false">IF(R96&gt;=3.8,"P1",IF(R96&gt;=3,"P2","P3"))</f>
        <v>P2</v>
      </c>
      <c r="T96" s="29" t="str">
        <f aca="false">IF(AND(M96&gt;=4,Q96&gt;=3.5),"Yes","No")</f>
        <v>No</v>
      </c>
      <c r="U96" s="31" t="s">
        <v>266</v>
      </c>
      <c r="V96" s="28" t="s">
        <v>49</v>
      </c>
      <c r="W96" s="17" t="s">
        <v>532</v>
      </c>
    </row>
    <row r="97" customFormat="false" ht="42" hidden="false" customHeight="true" outlineLevel="0" collapsed="false">
      <c r="A97" s="23" t="s">
        <v>106</v>
      </c>
      <c r="B97" s="24" t="s">
        <v>107</v>
      </c>
      <c r="C97" s="17" t="s">
        <v>811</v>
      </c>
      <c r="D97" s="17" t="s">
        <v>819</v>
      </c>
      <c r="E97" s="26" t="s">
        <v>820</v>
      </c>
      <c r="F97" s="17" t="s">
        <v>161</v>
      </c>
      <c r="G97" s="17" t="s">
        <v>821</v>
      </c>
      <c r="H97" s="17" t="s">
        <v>822</v>
      </c>
      <c r="I97" s="27" t="s">
        <v>252</v>
      </c>
      <c r="J97" s="28" t="s">
        <v>271</v>
      </c>
      <c r="K97" s="28" t="s">
        <v>254</v>
      </c>
      <c r="L97" s="17" t="s">
        <v>414</v>
      </c>
      <c r="M97" s="29" t="n">
        <v>4</v>
      </c>
      <c r="N97" s="29" t="n">
        <v>3</v>
      </c>
      <c r="O97" s="29" t="n">
        <v>3</v>
      </c>
      <c r="P97" s="29" t="n">
        <v>3</v>
      </c>
      <c r="Q97" s="29" t="n">
        <f aca="false">ROUND(AVERAGE(N97:P97),1)</f>
        <v>3</v>
      </c>
      <c r="R97" s="30" t="n">
        <f aca="false">ROUND((M97+Q97)/2,1)</f>
        <v>3.5</v>
      </c>
      <c r="S97" s="30" t="str">
        <f aca="false">IF(R97&gt;=3.8,"P1",IF(R97&gt;=3,"P2","P3"))</f>
        <v>P2</v>
      </c>
      <c r="T97" s="29" t="str">
        <f aca="false">IF(AND(M97&gt;=4,Q97&gt;=3.5),"Yes","No")</f>
        <v>No</v>
      </c>
      <c r="U97" s="31" t="s">
        <v>266</v>
      </c>
      <c r="V97" s="28" t="s">
        <v>49</v>
      </c>
      <c r="W97" s="17" t="s">
        <v>408</v>
      </c>
    </row>
    <row r="98" customFormat="false" ht="42" hidden="false" customHeight="true" outlineLevel="0" collapsed="false">
      <c r="A98" s="23" t="s">
        <v>106</v>
      </c>
      <c r="B98" s="24" t="s">
        <v>107</v>
      </c>
      <c r="C98" s="17" t="s">
        <v>581</v>
      </c>
      <c r="D98" s="17" t="s">
        <v>823</v>
      </c>
      <c r="E98" s="26" t="s">
        <v>824</v>
      </c>
      <c r="F98" s="17" t="s">
        <v>161</v>
      </c>
      <c r="G98" s="17" t="s">
        <v>825</v>
      </c>
      <c r="H98" s="17" t="s">
        <v>826</v>
      </c>
      <c r="I98" s="27" t="s">
        <v>252</v>
      </c>
      <c r="J98" s="28" t="s">
        <v>451</v>
      </c>
      <c r="K98" s="28" t="s">
        <v>254</v>
      </c>
      <c r="L98" s="17" t="s">
        <v>414</v>
      </c>
      <c r="M98" s="29" t="n">
        <v>4</v>
      </c>
      <c r="N98" s="29" t="n">
        <v>3</v>
      </c>
      <c r="O98" s="29" t="n">
        <v>3</v>
      </c>
      <c r="P98" s="29" t="n">
        <v>3</v>
      </c>
      <c r="Q98" s="29" t="n">
        <f aca="false">ROUND(AVERAGE(N98:P98),1)</f>
        <v>3</v>
      </c>
      <c r="R98" s="30" t="n">
        <f aca="false">ROUND((M98+Q98)/2,1)</f>
        <v>3.5</v>
      </c>
      <c r="S98" s="30" t="str">
        <f aca="false">IF(R98&gt;=3.8,"P1",IF(R98&gt;=3,"P2","P3"))</f>
        <v>P2</v>
      </c>
      <c r="T98" s="29" t="str">
        <f aca="false">IF(AND(M98&gt;=4,Q98&gt;=3.5),"Yes","No")</f>
        <v>No</v>
      </c>
      <c r="U98" s="31" t="s">
        <v>266</v>
      </c>
      <c r="V98" s="28" t="s">
        <v>49</v>
      </c>
      <c r="W98" s="17" t="s">
        <v>408</v>
      </c>
    </row>
    <row r="99" customFormat="false" ht="42" hidden="false" customHeight="true" outlineLevel="0" collapsed="false">
      <c r="A99" s="23" t="s">
        <v>106</v>
      </c>
      <c r="B99" s="24" t="s">
        <v>107</v>
      </c>
      <c r="C99" s="17" t="s">
        <v>827</v>
      </c>
      <c r="D99" s="17" t="s">
        <v>828</v>
      </c>
      <c r="E99" s="26" t="s">
        <v>829</v>
      </c>
      <c r="F99" s="17" t="s">
        <v>161</v>
      </c>
      <c r="G99" s="17" t="s">
        <v>830</v>
      </c>
      <c r="H99" s="17" t="s">
        <v>831</v>
      </c>
      <c r="I99" s="27" t="s">
        <v>252</v>
      </c>
      <c r="J99" s="28" t="s">
        <v>279</v>
      </c>
      <c r="K99" s="28" t="s">
        <v>331</v>
      </c>
      <c r="L99" s="17" t="s">
        <v>832</v>
      </c>
      <c r="M99" s="29" t="n">
        <v>3</v>
      </c>
      <c r="N99" s="29" t="n">
        <v>3</v>
      </c>
      <c r="O99" s="29" t="n">
        <v>3</v>
      </c>
      <c r="P99" s="29" t="n">
        <v>3</v>
      </c>
      <c r="Q99" s="29" t="n">
        <f aca="false">ROUND(AVERAGE(N99:P99),1)</f>
        <v>3</v>
      </c>
      <c r="R99" s="30" t="n">
        <f aca="false">ROUND((M99+Q99)/2,1)</f>
        <v>3</v>
      </c>
      <c r="S99" s="30" t="str">
        <f aca="false">IF(R99&gt;=3.8,"P1",IF(R99&gt;=3,"P2","P3"))</f>
        <v>P2</v>
      </c>
      <c r="T99" s="29" t="str">
        <f aca="false">IF(AND(M99&gt;=4,Q99&gt;=3.5),"Yes","No")</f>
        <v>No</v>
      </c>
      <c r="U99" s="31" t="s">
        <v>266</v>
      </c>
      <c r="V99" s="28" t="s">
        <v>49</v>
      </c>
      <c r="W99" s="17" t="s">
        <v>408</v>
      </c>
    </row>
    <row r="100" customFormat="false" ht="42" hidden="false" customHeight="true" outlineLevel="0" collapsed="false">
      <c r="A100" s="23" t="s">
        <v>106</v>
      </c>
      <c r="B100" s="24" t="s">
        <v>107</v>
      </c>
      <c r="C100" s="17" t="s">
        <v>391</v>
      </c>
      <c r="D100" s="17" t="s">
        <v>833</v>
      </c>
      <c r="E100" s="26" t="s">
        <v>834</v>
      </c>
      <c r="F100" s="17" t="s">
        <v>835</v>
      </c>
      <c r="G100" s="17" t="s">
        <v>836</v>
      </c>
      <c r="H100" s="17" t="s">
        <v>837</v>
      </c>
      <c r="I100" s="27" t="s">
        <v>252</v>
      </c>
      <c r="J100" s="28" t="s">
        <v>301</v>
      </c>
      <c r="K100" s="28" t="s">
        <v>264</v>
      </c>
      <c r="L100" s="17" t="s">
        <v>452</v>
      </c>
      <c r="M100" s="29" t="n">
        <v>3</v>
      </c>
      <c r="N100" s="29" t="n">
        <v>3</v>
      </c>
      <c r="O100" s="29" t="n">
        <v>3</v>
      </c>
      <c r="P100" s="29" t="n">
        <v>4</v>
      </c>
      <c r="Q100" s="29" t="n">
        <f aca="false">ROUND(AVERAGE(N100:P100),1)</f>
        <v>3.3</v>
      </c>
      <c r="R100" s="30" t="n">
        <f aca="false">ROUND((M100+Q100)/2,1)</f>
        <v>3.2</v>
      </c>
      <c r="S100" s="30" t="str">
        <f aca="false">IF(R100&gt;=3.8,"P1",IF(R100&gt;=3,"P2","P3"))</f>
        <v>P2</v>
      </c>
      <c r="T100" s="29" t="str">
        <f aca="false">IF(AND(M100&gt;=4,Q100&gt;=3.5),"Yes","No")</f>
        <v>No</v>
      </c>
      <c r="U100" s="31" t="s">
        <v>266</v>
      </c>
      <c r="V100" s="28" t="s">
        <v>49</v>
      </c>
      <c r="W100" s="17" t="s">
        <v>453</v>
      </c>
    </row>
    <row r="101" customFormat="false" ht="42" hidden="false" customHeight="true" outlineLevel="0" collapsed="false">
      <c r="A101" s="23" t="s">
        <v>106</v>
      </c>
      <c r="B101" s="24" t="s">
        <v>107</v>
      </c>
      <c r="C101" s="17" t="s">
        <v>391</v>
      </c>
      <c r="D101" s="17" t="s">
        <v>838</v>
      </c>
      <c r="E101" s="26" t="s">
        <v>839</v>
      </c>
      <c r="F101" s="17" t="s">
        <v>462</v>
      </c>
      <c r="G101" s="17" t="s">
        <v>840</v>
      </c>
      <c r="H101" s="17" t="s">
        <v>841</v>
      </c>
      <c r="I101" s="27" t="s">
        <v>252</v>
      </c>
      <c r="J101" s="28" t="s">
        <v>451</v>
      </c>
      <c r="K101" s="28" t="s">
        <v>264</v>
      </c>
      <c r="L101" s="17" t="s">
        <v>452</v>
      </c>
      <c r="M101" s="29" t="n">
        <v>4</v>
      </c>
      <c r="N101" s="29" t="n">
        <v>3</v>
      </c>
      <c r="O101" s="29" t="n">
        <v>3</v>
      </c>
      <c r="P101" s="29" t="n">
        <v>4</v>
      </c>
      <c r="Q101" s="29" t="n">
        <f aca="false">ROUND(AVERAGE(N101:P101),1)</f>
        <v>3.3</v>
      </c>
      <c r="R101" s="30" t="n">
        <f aca="false">ROUND((M101+Q101)/2,1)</f>
        <v>3.7</v>
      </c>
      <c r="S101" s="30" t="str">
        <f aca="false">IF(R101&gt;=3.8,"P1",IF(R101&gt;=3,"P2","P3"))</f>
        <v>P2</v>
      </c>
      <c r="T101" s="29" t="str">
        <f aca="false">IF(AND(M101&gt;=4,Q101&gt;=3.5),"Yes","No")</f>
        <v>No</v>
      </c>
      <c r="U101" s="31" t="s">
        <v>266</v>
      </c>
      <c r="V101" s="28" t="s">
        <v>49</v>
      </c>
      <c r="W101" s="17" t="s">
        <v>453</v>
      </c>
    </row>
    <row r="102" customFormat="false" ht="42" hidden="false" customHeight="true" outlineLevel="0" collapsed="false">
      <c r="A102" s="23" t="s">
        <v>106</v>
      </c>
      <c r="B102" s="24" t="s">
        <v>109</v>
      </c>
      <c r="C102" s="17" t="s">
        <v>756</v>
      </c>
      <c r="D102" s="17" t="s">
        <v>495</v>
      </c>
      <c r="E102" s="26" t="s">
        <v>842</v>
      </c>
      <c r="F102" s="17" t="s">
        <v>843</v>
      </c>
      <c r="G102" s="17" t="s">
        <v>844</v>
      </c>
      <c r="H102" s="17" t="s">
        <v>845</v>
      </c>
      <c r="I102" s="32" t="s">
        <v>319</v>
      </c>
      <c r="J102" s="28" t="s">
        <v>477</v>
      </c>
      <c r="K102" s="28" t="s">
        <v>254</v>
      </c>
      <c r="L102" s="17" t="s">
        <v>846</v>
      </c>
      <c r="M102" s="29" t="n">
        <v>3</v>
      </c>
      <c r="N102" s="29" t="n">
        <v>3</v>
      </c>
      <c r="O102" s="29" t="n">
        <v>3</v>
      </c>
      <c r="P102" s="29" t="n">
        <v>4</v>
      </c>
      <c r="Q102" s="29" t="n">
        <f aca="false">ROUND(AVERAGE(N102:P102),1)</f>
        <v>3.3</v>
      </c>
      <c r="R102" s="30" t="n">
        <f aca="false">ROUND((M102+Q102)/2,1)</f>
        <v>3.2</v>
      </c>
      <c r="S102" s="30" t="str">
        <f aca="false">IF(R102&gt;=3.8,"P1",IF(R102&gt;=3,"P2","P3"))</f>
        <v>P2</v>
      </c>
      <c r="T102" s="29" t="str">
        <f aca="false">IF(AND(M102&gt;=4,Q102&gt;=3.5),"Yes","No")</f>
        <v>No</v>
      </c>
      <c r="U102" s="31" t="s">
        <v>266</v>
      </c>
      <c r="V102" s="28" t="s">
        <v>49</v>
      </c>
      <c r="W102" s="17" t="s">
        <v>341</v>
      </c>
    </row>
    <row r="103" customFormat="false" ht="42" hidden="false" customHeight="true" outlineLevel="0" collapsed="false">
      <c r="A103" s="23" t="s">
        <v>106</v>
      </c>
      <c r="B103" s="24" t="s">
        <v>109</v>
      </c>
      <c r="C103" s="17" t="s">
        <v>847</v>
      </c>
      <c r="D103" s="17" t="s">
        <v>281</v>
      </c>
      <c r="E103" s="26" t="s">
        <v>848</v>
      </c>
      <c r="F103" s="17" t="s">
        <v>345</v>
      </c>
      <c r="G103" s="17" t="s">
        <v>849</v>
      </c>
      <c r="H103" s="17" t="s">
        <v>850</v>
      </c>
      <c r="I103" s="27" t="s">
        <v>252</v>
      </c>
      <c r="J103" s="28" t="s">
        <v>271</v>
      </c>
      <c r="K103" s="28" t="s">
        <v>254</v>
      </c>
      <c r="L103" s="17" t="s">
        <v>851</v>
      </c>
      <c r="M103" s="29" t="n">
        <v>3</v>
      </c>
      <c r="N103" s="29" t="n">
        <v>3</v>
      </c>
      <c r="O103" s="29" t="n">
        <v>2</v>
      </c>
      <c r="P103" s="29" t="n">
        <v>3</v>
      </c>
      <c r="Q103" s="29" t="n">
        <f aca="false">ROUND(AVERAGE(N103:P103),1)</f>
        <v>2.7</v>
      </c>
      <c r="R103" s="30" t="n">
        <f aca="false">ROUND((M103+Q103)/2,1)</f>
        <v>2.9</v>
      </c>
      <c r="S103" s="30" t="str">
        <f aca="false">IF(R103&gt;=3.8,"P1",IF(R103&gt;=3,"P2","P3"))</f>
        <v>P3</v>
      </c>
      <c r="T103" s="29" t="str">
        <f aca="false">IF(AND(M103&gt;=4,Q103&gt;=3.5),"Yes","No")</f>
        <v>No</v>
      </c>
      <c r="U103" s="28" t="s">
        <v>256</v>
      </c>
      <c r="V103" s="28" t="s">
        <v>257</v>
      </c>
      <c r="W103" s="17" t="s">
        <v>341</v>
      </c>
    </row>
    <row r="104" customFormat="false" ht="42" hidden="false" customHeight="true" outlineLevel="0" collapsed="false">
      <c r="A104" s="23" t="s">
        <v>106</v>
      </c>
      <c r="B104" s="24" t="s">
        <v>109</v>
      </c>
      <c r="C104" s="17" t="s">
        <v>852</v>
      </c>
      <c r="D104" s="17" t="s">
        <v>853</v>
      </c>
      <c r="E104" s="26" t="s">
        <v>854</v>
      </c>
      <c r="F104" s="17" t="s">
        <v>855</v>
      </c>
      <c r="G104" s="17" t="s">
        <v>856</v>
      </c>
      <c r="H104" s="17" t="s">
        <v>857</v>
      </c>
      <c r="I104" s="27" t="s">
        <v>252</v>
      </c>
      <c r="J104" s="28" t="s">
        <v>279</v>
      </c>
      <c r="K104" s="28" t="s">
        <v>254</v>
      </c>
      <c r="L104" s="17" t="s">
        <v>858</v>
      </c>
      <c r="M104" s="29" t="n">
        <v>3</v>
      </c>
      <c r="N104" s="29" t="n">
        <v>3</v>
      </c>
      <c r="O104" s="29" t="n">
        <v>3</v>
      </c>
      <c r="P104" s="29" t="n">
        <v>4</v>
      </c>
      <c r="Q104" s="29" t="n">
        <f aca="false">ROUND(AVERAGE(N104:P104),1)</f>
        <v>3.3</v>
      </c>
      <c r="R104" s="30" t="n">
        <f aca="false">ROUND((M104+Q104)/2,1)</f>
        <v>3.2</v>
      </c>
      <c r="S104" s="30" t="str">
        <f aca="false">IF(R104&gt;=3.8,"P1",IF(R104&gt;=3,"P2","P3"))</f>
        <v>P2</v>
      </c>
      <c r="T104" s="29" t="str">
        <f aca="false">IF(AND(M104&gt;=4,Q104&gt;=3.5),"Yes","No")</f>
        <v>No</v>
      </c>
      <c r="U104" s="31" t="s">
        <v>266</v>
      </c>
      <c r="V104" s="28" t="s">
        <v>49</v>
      </c>
      <c r="W104" s="17" t="s">
        <v>341</v>
      </c>
    </row>
    <row r="105" customFormat="false" ht="42" hidden="false" customHeight="true" outlineLevel="0" collapsed="false">
      <c r="A105" s="23" t="s">
        <v>106</v>
      </c>
      <c r="B105" s="24" t="s">
        <v>109</v>
      </c>
      <c r="C105" s="17" t="s">
        <v>782</v>
      </c>
      <c r="D105" s="17" t="s">
        <v>859</v>
      </c>
      <c r="E105" s="26" t="s">
        <v>860</v>
      </c>
      <c r="F105" s="17" t="s">
        <v>861</v>
      </c>
      <c r="G105" s="17" t="s">
        <v>366</v>
      </c>
      <c r="H105" s="17" t="s">
        <v>862</v>
      </c>
      <c r="I105" s="27" t="s">
        <v>252</v>
      </c>
      <c r="J105" s="28" t="s">
        <v>279</v>
      </c>
      <c r="K105" s="28" t="s">
        <v>254</v>
      </c>
      <c r="L105" s="17" t="s">
        <v>368</v>
      </c>
      <c r="M105" s="29" t="n">
        <v>3</v>
      </c>
      <c r="N105" s="29" t="n">
        <v>3</v>
      </c>
      <c r="O105" s="29" t="n">
        <v>2</v>
      </c>
      <c r="P105" s="29" t="n">
        <v>3</v>
      </c>
      <c r="Q105" s="29" t="n">
        <f aca="false">ROUND(AVERAGE(N105:P105),1)</f>
        <v>2.7</v>
      </c>
      <c r="R105" s="30" t="n">
        <f aca="false">ROUND((M105+Q105)/2,1)</f>
        <v>2.9</v>
      </c>
      <c r="S105" s="30" t="str">
        <f aca="false">IF(R105&gt;=3.8,"P1",IF(R105&gt;=3,"P2","P3"))</f>
        <v>P3</v>
      </c>
      <c r="T105" s="29" t="str">
        <f aca="false">IF(AND(M105&gt;=4,Q105&gt;=3.5),"Yes","No")</f>
        <v>No</v>
      </c>
      <c r="U105" s="31" t="s">
        <v>266</v>
      </c>
      <c r="V105" s="28" t="s">
        <v>49</v>
      </c>
      <c r="W105" s="17" t="s">
        <v>341</v>
      </c>
    </row>
    <row r="106" customFormat="false" ht="42" hidden="false" customHeight="true" outlineLevel="0" collapsed="false">
      <c r="A106" s="23" t="s">
        <v>106</v>
      </c>
      <c r="B106" s="24" t="s">
        <v>111</v>
      </c>
      <c r="C106" s="17" t="s">
        <v>362</v>
      </c>
      <c r="D106" s="17" t="s">
        <v>859</v>
      </c>
      <c r="E106" s="26" t="s">
        <v>863</v>
      </c>
      <c r="F106" s="17" t="s">
        <v>370</v>
      </c>
      <c r="G106" s="17" t="s">
        <v>366</v>
      </c>
      <c r="H106" s="17" t="s">
        <v>864</v>
      </c>
      <c r="I106" s="27" t="s">
        <v>252</v>
      </c>
      <c r="J106" s="28" t="s">
        <v>279</v>
      </c>
      <c r="K106" s="28" t="s">
        <v>254</v>
      </c>
      <c r="L106" s="17" t="s">
        <v>368</v>
      </c>
      <c r="M106" s="29" t="n">
        <v>4</v>
      </c>
      <c r="N106" s="29" t="n">
        <v>3</v>
      </c>
      <c r="O106" s="29" t="n">
        <v>3</v>
      </c>
      <c r="P106" s="29" t="n">
        <v>3</v>
      </c>
      <c r="Q106" s="29" t="n">
        <f aca="false">ROUND(AVERAGE(N106:P106),1)</f>
        <v>3</v>
      </c>
      <c r="R106" s="30" t="n">
        <f aca="false">ROUND((M106+Q106)/2,1)</f>
        <v>3.5</v>
      </c>
      <c r="S106" s="30" t="str">
        <f aca="false">IF(R106&gt;=3.8,"P1",IF(R106&gt;=3,"P2","P3"))</f>
        <v>P2</v>
      </c>
      <c r="T106" s="29" t="str">
        <f aca="false">IF(AND(M106&gt;=4,Q106&gt;=3.5),"Yes","No")</f>
        <v>No</v>
      </c>
      <c r="U106" s="31" t="s">
        <v>266</v>
      </c>
      <c r="V106" s="28" t="s">
        <v>49</v>
      </c>
      <c r="W106" s="17" t="s">
        <v>341</v>
      </c>
    </row>
    <row r="107" customFormat="false" ht="42" hidden="false" customHeight="true" outlineLevel="0" collapsed="false">
      <c r="A107" s="23" t="s">
        <v>106</v>
      </c>
      <c r="B107" s="24" t="s">
        <v>111</v>
      </c>
      <c r="C107" s="17" t="s">
        <v>428</v>
      </c>
      <c r="D107" s="17" t="s">
        <v>828</v>
      </c>
      <c r="E107" s="26" t="s">
        <v>865</v>
      </c>
      <c r="F107" s="17" t="s">
        <v>370</v>
      </c>
      <c r="G107" s="17" t="s">
        <v>866</v>
      </c>
      <c r="H107" s="17" t="s">
        <v>867</v>
      </c>
      <c r="I107" s="27" t="s">
        <v>252</v>
      </c>
      <c r="J107" s="28" t="s">
        <v>279</v>
      </c>
      <c r="K107" s="28" t="s">
        <v>331</v>
      </c>
      <c r="L107" s="17" t="s">
        <v>868</v>
      </c>
      <c r="M107" s="29" t="n">
        <v>3</v>
      </c>
      <c r="N107" s="29" t="n">
        <v>3</v>
      </c>
      <c r="O107" s="29" t="n">
        <v>3</v>
      </c>
      <c r="P107" s="29" t="n">
        <v>4</v>
      </c>
      <c r="Q107" s="29" t="n">
        <f aca="false">ROUND(AVERAGE(N107:P107),1)</f>
        <v>3.3</v>
      </c>
      <c r="R107" s="30" t="n">
        <f aca="false">ROUND((M107+Q107)/2,1)</f>
        <v>3.2</v>
      </c>
      <c r="S107" s="30" t="str">
        <f aca="false">IF(R107&gt;=3.8,"P1",IF(R107&gt;=3,"P2","P3"))</f>
        <v>P2</v>
      </c>
      <c r="T107" s="29" t="str">
        <f aca="false">IF(AND(M107&gt;=4,Q107&gt;=3.5),"Yes","No")</f>
        <v>No</v>
      </c>
      <c r="U107" s="31" t="s">
        <v>266</v>
      </c>
      <c r="V107" s="28" t="s">
        <v>49</v>
      </c>
      <c r="W107" s="17" t="s">
        <v>341</v>
      </c>
    </row>
    <row r="108" customFormat="false" ht="42" hidden="false" customHeight="true" outlineLevel="0" collapsed="false">
      <c r="A108" s="23" t="s">
        <v>106</v>
      </c>
      <c r="B108" s="24" t="s">
        <v>111</v>
      </c>
      <c r="C108" s="17" t="s">
        <v>869</v>
      </c>
      <c r="D108" s="17" t="s">
        <v>870</v>
      </c>
      <c r="E108" s="26" t="s">
        <v>871</v>
      </c>
      <c r="F108" s="17" t="s">
        <v>370</v>
      </c>
      <c r="G108" s="17" t="s">
        <v>872</v>
      </c>
      <c r="H108" s="17" t="s">
        <v>873</v>
      </c>
      <c r="I108" s="32" t="s">
        <v>319</v>
      </c>
      <c r="J108" s="28" t="s">
        <v>279</v>
      </c>
      <c r="K108" s="28" t="s">
        <v>254</v>
      </c>
      <c r="L108" s="17" t="s">
        <v>874</v>
      </c>
      <c r="M108" s="29" t="n">
        <v>3</v>
      </c>
      <c r="N108" s="29" t="n">
        <v>3</v>
      </c>
      <c r="O108" s="29" t="n">
        <v>3</v>
      </c>
      <c r="P108" s="29" t="n">
        <v>4</v>
      </c>
      <c r="Q108" s="29" t="n">
        <f aca="false">ROUND(AVERAGE(N108:P108),1)</f>
        <v>3.3</v>
      </c>
      <c r="R108" s="30" t="n">
        <f aca="false">ROUND((M108+Q108)/2,1)</f>
        <v>3.2</v>
      </c>
      <c r="S108" s="30" t="str">
        <f aca="false">IF(R108&gt;=3.8,"P1",IF(R108&gt;=3,"P2","P3"))</f>
        <v>P2</v>
      </c>
      <c r="T108" s="29" t="str">
        <f aca="false">IF(AND(M108&gt;=4,Q108&gt;=3.5),"Yes","No")</f>
        <v>No</v>
      </c>
      <c r="U108" s="31" t="s">
        <v>266</v>
      </c>
      <c r="V108" s="28" t="s">
        <v>49</v>
      </c>
      <c r="W108" s="17" t="s">
        <v>341</v>
      </c>
    </row>
    <row r="109" customFormat="false" ht="42" hidden="false" customHeight="true" outlineLevel="0" collapsed="false">
      <c r="A109" s="23" t="s">
        <v>106</v>
      </c>
      <c r="B109" s="24" t="s">
        <v>113</v>
      </c>
      <c r="C109" s="17" t="s">
        <v>875</v>
      </c>
      <c r="D109" s="17" t="s">
        <v>876</v>
      </c>
      <c r="E109" s="26" t="s">
        <v>877</v>
      </c>
      <c r="F109" s="17" t="s">
        <v>878</v>
      </c>
      <c r="G109" s="17" t="s">
        <v>879</v>
      </c>
      <c r="H109" s="17" t="s">
        <v>880</v>
      </c>
      <c r="I109" s="27" t="s">
        <v>252</v>
      </c>
      <c r="J109" s="28" t="s">
        <v>301</v>
      </c>
      <c r="K109" s="28" t="s">
        <v>254</v>
      </c>
      <c r="L109" s="17" t="s">
        <v>881</v>
      </c>
      <c r="M109" s="29" t="n">
        <v>3</v>
      </c>
      <c r="N109" s="29" t="n">
        <v>3</v>
      </c>
      <c r="O109" s="29" t="n">
        <v>4</v>
      </c>
      <c r="P109" s="29" t="n">
        <v>3</v>
      </c>
      <c r="Q109" s="29" t="n">
        <f aca="false">ROUND(AVERAGE(N109:P109),1)</f>
        <v>3.3</v>
      </c>
      <c r="R109" s="30" t="n">
        <f aca="false">ROUND((M109+Q109)/2,1)</f>
        <v>3.2</v>
      </c>
      <c r="S109" s="30" t="str">
        <f aca="false">IF(R109&gt;=3.8,"P1",IF(R109&gt;=3,"P2","P3"))</f>
        <v>P2</v>
      </c>
      <c r="T109" s="29" t="str">
        <f aca="false">IF(AND(M109&gt;=4,Q109&gt;=3.5),"Yes","No")</f>
        <v>No</v>
      </c>
      <c r="U109" s="31" t="s">
        <v>266</v>
      </c>
      <c r="V109" s="28" t="s">
        <v>49</v>
      </c>
      <c r="W109" s="17" t="s">
        <v>882</v>
      </c>
    </row>
    <row r="110" customFormat="false" ht="42" hidden="false" customHeight="true" outlineLevel="0" collapsed="false">
      <c r="A110" s="23" t="s">
        <v>106</v>
      </c>
      <c r="B110" s="24" t="s">
        <v>113</v>
      </c>
      <c r="C110" s="17" t="s">
        <v>756</v>
      </c>
      <c r="D110" s="17" t="s">
        <v>883</v>
      </c>
      <c r="E110" s="26" t="s">
        <v>884</v>
      </c>
      <c r="F110" s="17" t="s">
        <v>885</v>
      </c>
      <c r="G110" s="17" t="s">
        <v>886</v>
      </c>
      <c r="H110" s="17" t="s">
        <v>887</v>
      </c>
      <c r="I110" s="32" t="s">
        <v>319</v>
      </c>
      <c r="J110" s="28" t="s">
        <v>477</v>
      </c>
      <c r="K110" s="28" t="s">
        <v>254</v>
      </c>
      <c r="L110" s="17" t="s">
        <v>888</v>
      </c>
      <c r="M110" s="29" t="n">
        <v>3</v>
      </c>
      <c r="N110" s="29" t="n">
        <v>3</v>
      </c>
      <c r="O110" s="29" t="n">
        <v>4</v>
      </c>
      <c r="P110" s="29" t="n">
        <v>4</v>
      </c>
      <c r="Q110" s="29" t="n">
        <f aca="false">ROUND(AVERAGE(N110:P110),1)</f>
        <v>3.7</v>
      </c>
      <c r="R110" s="30" t="n">
        <f aca="false">ROUND((M110+Q110)/2,1)</f>
        <v>3.4</v>
      </c>
      <c r="S110" s="30" t="str">
        <f aca="false">IF(R110&gt;=3.8,"P1",IF(R110&gt;=3,"P2","P3"))</f>
        <v>P2</v>
      </c>
      <c r="T110" s="29" t="str">
        <f aca="false">IF(AND(M110&gt;=4,Q110&gt;=3.5),"Yes","No")</f>
        <v>No</v>
      </c>
      <c r="U110" s="31" t="s">
        <v>266</v>
      </c>
      <c r="V110" s="28" t="s">
        <v>49</v>
      </c>
      <c r="W110" s="17" t="s">
        <v>882</v>
      </c>
    </row>
    <row r="111" customFormat="false" ht="42" hidden="false" customHeight="true" outlineLevel="0" collapsed="false">
      <c r="A111" s="23" t="s">
        <v>106</v>
      </c>
      <c r="B111" s="24" t="s">
        <v>113</v>
      </c>
      <c r="C111" s="17" t="s">
        <v>889</v>
      </c>
      <c r="D111" s="17" t="s">
        <v>890</v>
      </c>
      <c r="E111" s="26" t="s">
        <v>891</v>
      </c>
      <c r="F111" s="17" t="s">
        <v>892</v>
      </c>
      <c r="G111" s="17" t="s">
        <v>893</v>
      </c>
      <c r="H111" s="17" t="s">
        <v>894</v>
      </c>
      <c r="I111" s="32" t="s">
        <v>319</v>
      </c>
      <c r="J111" s="28" t="s">
        <v>477</v>
      </c>
      <c r="K111" s="28" t="s">
        <v>254</v>
      </c>
      <c r="L111" s="17" t="s">
        <v>888</v>
      </c>
      <c r="M111" s="29" t="n">
        <v>2</v>
      </c>
      <c r="N111" s="29" t="n">
        <v>3</v>
      </c>
      <c r="O111" s="29" t="n">
        <v>3</v>
      </c>
      <c r="P111" s="29" t="n">
        <v>4</v>
      </c>
      <c r="Q111" s="29" t="n">
        <f aca="false">ROUND(AVERAGE(N111:P111),1)</f>
        <v>3.3</v>
      </c>
      <c r="R111" s="30" t="n">
        <f aca="false">ROUND((M111+Q111)/2,1)</f>
        <v>2.7</v>
      </c>
      <c r="S111" s="30" t="str">
        <f aca="false">IF(R111&gt;=3.8,"P1",IF(R111&gt;=3,"P2","P3"))</f>
        <v>P3</v>
      </c>
      <c r="T111" s="29" t="str">
        <f aca="false">IF(AND(M111&gt;=4,Q111&gt;=3.5),"Yes","No")</f>
        <v>No</v>
      </c>
      <c r="U111" s="31" t="s">
        <v>266</v>
      </c>
      <c r="V111" s="28" t="s">
        <v>49</v>
      </c>
      <c r="W111" s="17" t="s">
        <v>882</v>
      </c>
    </row>
    <row r="112" customFormat="false" ht="42" hidden="false" customHeight="true" outlineLevel="0" collapsed="false">
      <c r="A112" s="23" t="s">
        <v>106</v>
      </c>
      <c r="B112" s="24" t="s">
        <v>113</v>
      </c>
      <c r="C112" s="17" t="s">
        <v>895</v>
      </c>
      <c r="D112" s="17" t="s">
        <v>896</v>
      </c>
      <c r="E112" s="26" t="s">
        <v>897</v>
      </c>
      <c r="F112" s="17" t="s">
        <v>892</v>
      </c>
      <c r="G112" s="17" t="s">
        <v>898</v>
      </c>
      <c r="H112" s="17" t="s">
        <v>899</v>
      </c>
      <c r="I112" s="27" t="s">
        <v>252</v>
      </c>
      <c r="J112" s="28" t="s">
        <v>253</v>
      </c>
      <c r="K112" s="28" t="s">
        <v>254</v>
      </c>
      <c r="L112" s="17" t="s">
        <v>888</v>
      </c>
      <c r="M112" s="29" t="n">
        <v>3</v>
      </c>
      <c r="N112" s="29" t="n">
        <v>3</v>
      </c>
      <c r="O112" s="29" t="n">
        <v>3</v>
      </c>
      <c r="P112" s="29" t="n">
        <v>4</v>
      </c>
      <c r="Q112" s="29" t="n">
        <f aca="false">ROUND(AVERAGE(N112:P112),1)</f>
        <v>3.3</v>
      </c>
      <c r="R112" s="30" t="n">
        <f aca="false">ROUND((M112+Q112)/2,1)</f>
        <v>3.2</v>
      </c>
      <c r="S112" s="30" t="str">
        <f aca="false">IF(R112&gt;=3.8,"P1",IF(R112&gt;=3,"P2","P3"))</f>
        <v>P2</v>
      </c>
      <c r="T112" s="29" t="str">
        <f aca="false">IF(AND(M112&gt;=4,Q112&gt;=3.5),"Yes","No")</f>
        <v>No</v>
      </c>
      <c r="U112" s="28" t="s">
        <v>256</v>
      </c>
      <c r="V112" s="28" t="s">
        <v>257</v>
      </c>
      <c r="W112" s="17" t="s">
        <v>882</v>
      </c>
    </row>
    <row r="113" customFormat="false" ht="42" hidden="false" customHeight="true" outlineLevel="0" collapsed="false">
      <c r="A113" s="23" t="s">
        <v>106</v>
      </c>
      <c r="B113" s="24" t="s">
        <v>115</v>
      </c>
      <c r="C113" s="17" t="s">
        <v>900</v>
      </c>
      <c r="D113" s="17" t="s">
        <v>901</v>
      </c>
      <c r="E113" s="26" t="s">
        <v>902</v>
      </c>
      <c r="F113" s="17" t="s">
        <v>345</v>
      </c>
      <c r="G113" s="17" t="s">
        <v>903</v>
      </c>
      <c r="H113" s="17" t="s">
        <v>904</v>
      </c>
      <c r="I113" s="27" t="s">
        <v>252</v>
      </c>
      <c r="J113" s="28" t="s">
        <v>271</v>
      </c>
      <c r="K113" s="28" t="s">
        <v>388</v>
      </c>
      <c r="L113" s="17" t="s">
        <v>905</v>
      </c>
      <c r="M113" s="29" t="n">
        <v>4</v>
      </c>
      <c r="N113" s="29" t="n">
        <v>3</v>
      </c>
      <c r="O113" s="29" t="n">
        <v>4</v>
      </c>
      <c r="P113" s="29" t="n">
        <v>3</v>
      </c>
      <c r="Q113" s="29" t="n">
        <f aca="false">ROUND(AVERAGE(N113:P113),1)</f>
        <v>3.3</v>
      </c>
      <c r="R113" s="30" t="n">
        <f aca="false">ROUND((M113+Q113)/2,1)</f>
        <v>3.7</v>
      </c>
      <c r="S113" s="30" t="str">
        <f aca="false">IF(R113&gt;=3.8,"P1",IF(R113&gt;=3,"P2","P3"))</f>
        <v>P2</v>
      </c>
      <c r="T113" s="29" t="str">
        <f aca="false">IF(AND(M113&gt;=4,Q113&gt;=3.5),"Yes","No")</f>
        <v>No</v>
      </c>
      <c r="U113" s="31" t="s">
        <v>266</v>
      </c>
      <c r="V113" s="28" t="s">
        <v>49</v>
      </c>
      <c r="W113" s="17" t="s">
        <v>532</v>
      </c>
    </row>
    <row r="114" customFormat="false" ht="42" hidden="false" customHeight="true" outlineLevel="0" collapsed="false">
      <c r="A114" s="23" t="s">
        <v>106</v>
      </c>
      <c r="B114" s="24" t="s">
        <v>115</v>
      </c>
      <c r="C114" s="17" t="s">
        <v>900</v>
      </c>
      <c r="D114" s="17" t="s">
        <v>906</v>
      </c>
      <c r="E114" s="26" t="s">
        <v>907</v>
      </c>
      <c r="F114" s="17" t="s">
        <v>345</v>
      </c>
      <c r="G114" s="17" t="s">
        <v>908</v>
      </c>
      <c r="H114" s="17" t="s">
        <v>909</v>
      </c>
      <c r="I114" s="27" t="s">
        <v>252</v>
      </c>
      <c r="J114" s="28" t="s">
        <v>301</v>
      </c>
      <c r="K114" s="28" t="s">
        <v>331</v>
      </c>
      <c r="L114" s="17" t="s">
        <v>332</v>
      </c>
      <c r="M114" s="29" t="n">
        <v>3</v>
      </c>
      <c r="N114" s="29" t="n">
        <v>3</v>
      </c>
      <c r="O114" s="29" t="n">
        <v>4</v>
      </c>
      <c r="P114" s="29" t="n">
        <v>3</v>
      </c>
      <c r="Q114" s="29" t="n">
        <f aca="false">ROUND(AVERAGE(N114:P114),1)</f>
        <v>3.3</v>
      </c>
      <c r="R114" s="30" t="n">
        <f aca="false">ROUND((M114+Q114)/2,1)</f>
        <v>3.2</v>
      </c>
      <c r="S114" s="30" t="str">
        <f aca="false">IF(R114&gt;=3.8,"P1",IF(R114&gt;=3,"P2","P3"))</f>
        <v>P2</v>
      </c>
      <c r="T114" s="29" t="str">
        <f aca="false">IF(AND(M114&gt;=4,Q114&gt;=3.5),"Yes","No")</f>
        <v>No</v>
      </c>
      <c r="U114" s="31" t="s">
        <v>266</v>
      </c>
      <c r="V114" s="28" t="s">
        <v>49</v>
      </c>
      <c r="W114" s="17" t="s">
        <v>532</v>
      </c>
    </row>
    <row r="115" customFormat="false" ht="42" hidden="false" customHeight="true" outlineLevel="0" collapsed="false">
      <c r="A115" s="23" t="s">
        <v>106</v>
      </c>
      <c r="B115" s="24" t="s">
        <v>115</v>
      </c>
      <c r="C115" s="17" t="s">
        <v>910</v>
      </c>
      <c r="D115" s="17" t="s">
        <v>911</v>
      </c>
      <c r="E115" s="26" t="s">
        <v>912</v>
      </c>
      <c r="F115" s="17" t="s">
        <v>345</v>
      </c>
      <c r="G115" s="17" t="s">
        <v>346</v>
      </c>
      <c r="H115" s="17" t="s">
        <v>913</v>
      </c>
      <c r="I115" s="27" t="s">
        <v>252</v>
      </c>
      <c r="J115" s="28" t="s">
        <v>301</v>
      </c>
      <c r="K115" s="28" t="s">
        <v>331</v>
      </c>
      <c r="L115" s="17" t="s">
        <v>914</v>
      </c>
      <c r="M115" s="29" t="n">
        <v>3</v>
      </c>
      <c r="N115" s="29" t="n">
        <v>3</v>
      </c>
      <c r="O115" s="29" t="n">
        <v>4</v>
      </c>
      <c r="P115" s="29" t="n">
        <v>3</v>
      </c>
      <c r="Q115" s="29" t="n">
        <f aca="false">ROUND(AVERAGE(N115:P115),1)</f>
        <v>3.3</v>
      </c>
      <c r="R115" s="30" t="n">
        <f aca="false">ROUND((M115+Q115)/2,1)</f>
        <v>3.2</v>
      </c>
      <c r="S115" s="30" t="str">
        <f aca="false">IF(R115&gt;=3.8,"P1",IF(R115&gt;=3,"P2","P3"))</f>
        <v>P2</v>
      </c>
      <c r="T115" s="29" t="str">
        <f aca="false">IF(AND(M115&gt;=4,Q115&gt;=3.5),"Yes","No")</f>
        <v>No</v>
      </c>
      <c r="U115" s="31" t="s">
        <v>266</v>
      </c>
      <c r="V115" s="28" t="s">
        <v>49</v>
      </c>
      <c r="W115" s="17" t="s">
        <v>532</v>
      </c>
    </row>
    <row r="116" customFormat="false" ht="42" hidden="false" customHeight="true" outlineLevel="0" collapsed="false">
      <c r="A116" s="23" t="s">
        <v>106</v>
      </c>
      <c r="B116" s="24" t="s">
        <v>117</v>
      </c>
      <c r="C116" s="17" t="s">
        <v>915</v>
      </c>
      <c r="D116" s="17" t="s">
        <v>916</v>
      </c>
      <c r="E116" s="26" t="s">
        <v>917</v>
      </c>
      <c r="F116" s="17" t="s">
        <v>411</v>
      </c>
      <c r="G116" s="17" t="s">
        <v>918</v>
      </c>
      <c r="H116" s="17" t="s">
        <v>919</v>
      </c>
      <c r="I116" s="32" t="s">
        <v>319</v>
      </c>
      <c r="J116" s="28" t="s">
        <v>271</v>
      </c>
      <c r="K116" s="28" t="s">
        <v>254</v>
      </c>
      <c r="L116" s="17" t="s">
        <v>920</v>
      </c>
      <c r="M116" s="29" t="n">
        <v>2</v>
      </c>
      <c r="N116" s="29" t="n">
        <v>3</v>
      </c>
      <c r="O116" s="29" t="n">
        <v>3</v>
      </c>
      <c r="P116" s="29" t="n">
        <v>3</v>
      </c>
      <c r="Q116" s="29" t="n">
        <f aca="false">ROUND(AVERAGE(N116:P116),1)</f>
        <v>3</v>
      </c>
      <c r="R116" s="30" t="n">
        <f aca="false">ROUND((M116+Q116)/2,1)</f>
        <v>2.5</v>
      </c>
      <c r="S116" s="30" t="str">
        <f aca="false">IF(R116&gt;=3.8,"P1",IF(R116&gt;=3,"P2","P3"))</f>
        <v>P3</v>
      </c>
      <c r="T116" s="29" t="str">
        <f aca="false">IF(AND(M116&gt;=4,Q116&gt;=3.5),"Yes","No")</f>
        <v>No</v>
      </c>
      <c r="U116" s="31" t="s">
        <v>266</v>
      </c>
      <c r="V116" s="28" t="s">
        <v>49</v>
      </c>
      <c r="W116" s="17" t="s">
        <v>498</v>
      </c>
    </row>
    <row r="117" customFormat="false" ht="42" hidden="false" customHeight="true" outlineLevel="0" collapsed="false">
      <c r="A117" s="23" t="s">
        <v>106</v>
      </c>
      <c r="B117" s="24" t="s">
        <v>117</v>
      </c>
      <c r="C117" s="17" t="s">
        <v>915</v>
      </c>
      <c r="D117" s="17" t="s">
        <v>900</v>
      </c>
      <c r="E117" s="26" t="s">
        <v>921</v>
      </c>
      <c r="F117" s="17" t="s">
        <v>411</v>
      </c>
      <c r="G117" s="17" t="s">
        <v>922</v>
      </c>
      <c r="H117" s="17" t="s">
        <v>923</v>
      </c>
      <c r="I117" s="32" t="s">
        <v>319</v>
      </c>
      <c r="J117" s="28" t="s">
        <v>301</v>
      </c>
      <c r="K117" s="28" t="s">
        <v>254</v>
      </c>
      <c r="L117" s="17" t="s">
        <v>332</v>
      </c>
      <c r="M117" s="29" t="n">
        <v>2</v>
      </c>
      <c r="N117" s="29" t="n">
        <v>3</v>
      </c>
      <c r="O117" s="29" t="n">
        <v>4</v>
      </c>
      <c r="P117" s="29" t="n">
        <v>4</v>
      </c>
      <c r="Q117" s="29" t="n">
        <f aca="false">ROUND(AVERAGE(N117:P117),1)</f>
        <v>3.7</v>
      </c>
      <c r="R117" s="30" t="n">
        <f aca="false">ROUND((M117+Q117)/2,1)</f>
        <v>2.9</v>
      </c>
      <c r="S117" s="30" t="str">
        <f aca="false">IF(R117&gt;=3.8,"P1",IF(R117&gt;=3,"P2","P3"))</f>
        <v>P3</v>
      </c>
      <c r="T117" s="29" t="str">
        <f aca="false">IF(AND(M117&gt;=4,Q117&gt;=3.5),"Yes","No")</f>
        <v>No</v>
      </c>
      <c r="U117" s="31" t="s">
        <v>266</v>
      </c>
      <c r="V117" s="28" t="s">
        <v>49</v>
      </c>
      <c r="W117" s="17" t="s">
        <v>498</v>
      </c>
    </row>
    <row r="118" customFormat="false" ht="42" hidden="false" customHeight="true" outlineLevel="0" collapsed="false">
      <c r="A118" s="23" t="s">
        <v>106</v>
      </c>
      <c r="B118" s="24" t="s">
        <v>117</v>
      </c>
      <c r="C118" s="17" t="s">
        <v>911</v>
      </c>
      <c r="D118" s="17" t="s">
        <v>924</v>
      </c>
      <c r="E118" s="26" t="s">
        <v>925</v>
      </c>
      <c r="F118" s="17" t="s">
        <v>926</v>
      </c>
      <c r="G118" s="17" t="s">
        <v>927</v>
      </c>
      <c r="H118" s="17" t="s">
        <v>928</v>
      </c>
      <c r="I118" s="32" t="s">
        <v>319</v>
      </c>
      <c r="J118" s="28" t="s">
        <v>451</v>
      </c>
      <c r="K118" s="28" t="s">
        <v>254</v>
      </c>
      <c r="L118" s="17" t="s">
        <v>929</v>
      </c>
      <c r="M118" s="29" t="n">
        <v>2</v>
      </c>
      <c r="N118" s="29" t="n">
        <v>3</v>
      </c>
      <c r="O118" s="29" t="n">
        <v>4</v>
      </c>
      <c r="P118" s="29" t="n">
        <v>4</v>
      </c>
      <c r="Q118" s="29" t="n">
        <f aca="false">ROUND(AVERAGE(N118:P118),1)</f>
        <v>3.7</v>
      </c>
      <c r="R118" s="30" t="n">
        <f aca="false">ROUND((M118+Q118)/2,1)</f>
        <v>2.9</v>
      </c>
      <c r="S118" s="30" t="str">
        <f aca="false">IF(R118&gt;=3.8,"P1",IF(R118&gt;=3,"P2","P3"))</f>
        <v>P3</v>
      </c>
      <c r="T118" s="29" t="str">
        <f aca="false">IF(AND(M118&gt;=4,Q118&gt;=3.5),"Yes","No")</f>
        <v>No</v>
      </c>
      <c r="U118" s="31" t="s">
        <v>266</v>
      </c>
      <c r="V118" s="28" t="s">
        <v>49</v>
      </c>
      <c r="W118" s="17" t="s">
        <v>498</v>
      </c>
    </row>
  </sheetData>
  <autoFilter ref="A1:W118"/>
  <conditionalFormatting sqref="R2:R118">
    <cfRule type="colorScale" priority="2">
      <colorScale>
        <cfvo type="num" val="1"/>
        <cfvo type="num" val="2.8"/>
        <cfvo type="num" val="5"/>
        <color rgb="FFF8696B"/>
        <color rgb="FFFFEB84"/>
        <color rgb="FF63BE7B"/>
      </colorScale>
    </cfRule>
  </conditionalFormatting>
  <conditionalFormatting sqref="S2:S118">
    <cfRule type="cellIs" priority="3" operator="equal" aboveAverage="0" equalAverage="0" bottom="0" percent="0" rank="0" text="" dxfId="24">
      <formula>"P1"</formula>
    </cfRule>
  </conditionalFormatting>
  <conditionalFormatting sqref="T2:T118">
    <cfRule type="cellIs" priority="4" operator="equal" aboveAverage="0" equalAverage="0" bottom="0" percent="0" rank="0" text="" dxfId="25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6"/>
    <col collapsed="false" customWidth="true" hidden="false" outlineLevel="0" max="3" min="3" style="1" width="44"/>
    <col collapsed="false" customWidth="true" hidden="false" outlineLevel="0" max="4" min="4" style="1" width="46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33" t="s">
        <v>930</v>
      </c>
    </row>
    <row r="2" customFormat="false" ht="43.5" hidden="false" customHeight="true" outlineLevel="0" collapsed="false">
      <c r="A2" s="34" t="s">
        <v>931</v>
      </c>
      <c r="B2" s="34"/>
      <c r="C2" s="34"/>
      <c r="D2" s="34"/>
      <c r="E2" s="34"/>
      <c r="F2" s="34"/>
    </row>
    <row r="4" customFormat="false" ht="15" hidden="false" customHeight="true" outlineLevel="0" collapsed="false">
      <c r="A4" s="7" t="s">
        <v>932</v>
      </c>
      <c r="B4" s="7" t="s">
        <v>933</v>
      </c>
      <c r="C4" s="7" t="s">
        <v>934</v>
      </c>
      <c r="D4" s="7" t="s">
        <v>935</v>
      </c>
      <c r="E4" s="7" t="s">
        <v>43</v>
      </c>
      <c r="F4" s="7" t="s">
        <v>936</v>
      </c>
    </row>
    <row r="5" customFormat="false" ht="120" hidden="false" customHeight="true" outlineLevel="0" collapsed="false">
      <c r="A5" s="35" t="s">
        <v>937</v>
      </c>
      <c r="B5" s="17" t="s">
        <v>938</v>
      </c>
      <c r="C5" s="17" t="s">
        <v>939</v>
      </c>
      <c r="D5" s="17" t="s">
        <v>940</v>
      </c>
      <c r="E5" s="17" t="s">
        <v>271</v>
      </c>
      <c r="F5" s="17" t="s">
        <v>941</v>
      </c>
    </row>
    <row r="6" customFormat="false" ht="120" hidden="false" customHeight="true" outlineLevel="0" collapsed="false">
      <c r="A6" s="35" t="s">
        <v>942</v>
      </c>
      <c r="B6" s="17" t="s">
        <v>943</v>
      </c>
      <c r="C6" s="17" t="s">
        <v>944</v>
      </c>
      <c r="D6" s="17" t="s">
        <v>945</v>
      </c>
      <c r="E6" s="17" t="s">
        <v>279</v>
      </c>
      <c r="F6" s="17" t="s">
        <v>946</v>
      </c>
    </row>
    <row r="7" customFormat="false" ht="120" hidden="false" customHeight="true" outlineLevel="0" collapsed="false">
      <c r="A7" s="35" t="s">
        <v>947</v>
      </c>
      <c r="B7" s="17" t="s">
        <v>948</v>
      </c>
      <c r="C7" s="17" t="s">
        <v>949</v>
      </c>
      <c r="D7" s="17" t="s">
        <v>950</v>
      </c>
      <c r="E7" s="17" t="s">
        <v>951</v>
      </c>
      <c r="F7" s="17" t="s">
        <v>952</v>
      </c>
    </row>
    <row r="8" customFormat="false" ht="120" hidden="false" customHeight="true" outlineLevel="0" collapsed="false">
      <c r="A8" s="35" t="s">
        <v>953</v>
      </c>
      <c r="B8" s="17" t="s">
        <v>954</v>
      </c>
      <c r="C8" s="17" t="s">
        <v>955</v>
      </c>
      <c r="D8" s="17" t="s">
        <v>956</v>
      </c>
      <c r="E8" s="17" t="s">
        <v>957</v>
      </c>
      <c r="F8" s="17" t="s">
        <v>958</v>
      </c>
    </row>
    <row r="9" customFormat="false" ht="120" hidden="false" customHeight="true" outlineLevel="0" collapsed="false">
      <c r="A9" s="35" t="s">
        <v>959</v>
      </c>
      <c r="B9" s="17" t="s">
        <v>960</v>
      </c>
      <c r="C9" s="17" t="s">
        <v>961</v>
      </c>
      <c r="D9" s="17" t="s">
        <v>962</v>
      </c>
      <c r="E9" s="17" t="s">
        <v>477</v>
      </c>
      <c r="F9" s="17" t="s">
        <v>963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6"/>
    <col collapsed="false" customWidth="true" hidden="false" outlineLevel="0" max="4" min="4" style="1" width="30"/>
    <col collapsed="false" customWidth="true" hidden="false" outlineLevel="0" max="5" min="5" style="1" width="17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9"/>
    <col collapsed="false" customWidth="true" hidden="false" outlineLevel="0" max="11" min="11" style="1" width="46"/>
  </cols>
  <sheetData>
    <row r="1" customFormat="false" ht="17.25" hidden="false" customHeight="true" outlineLevel="0" collapsed="false">
      <c r="A1" s="33" t="s">
        <v>964</v>
      </c>
    </row>
    <row r="2" customFormat="false" ht="43.5" hidden="false" customHeight="true" outlineLevel="0" collapsed="false">
      <c r="A2" s="34" t="s">
        <v>965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4" customFormat="false" ht="23.25" hidden="false" customHeight="true" outlineLevel="0" collapsed="false">
      <c r="A4" s="36" t="s">
        <v>966</v>
      </c>
      <c r="B4" s="36" t="s">
        <v>967</v>
      </c>
      <c r="C4" s="36" t="s">
        <v>968</v>
      </c>
      <c r="D4" s="36" t="s">
        <v>969</v>
      </c>
      <c r="E4" s="36" t="s">
        <v>970</v>
      </c>
      <c r="F4" s="25" t="s">
        <v>245</v>
      </c>
      <c r="G4" s="36" t="s">
        <v>971</v>
      </c>
      <c r="H4" s="36" t="s">
        <v>972</v>
      </c>
      <c r="I4" s="36" t="s">
        <v>973</v>
      </c>
      <c r="J4" s="36" t="s">
        <v>49</v>
      </c>
      <c r="K4" s="36" t="s">
        <v>974</v>
      </c>
      <c r="L4" s="36" t="s">
        <v>975</v>
      </c>
    </row>
    <row r="5" customFormat="false" ht="84" hidden="false" customHeight="true" outlineLevel="0" collapsed="false">
      <c r="A5" s="37" t="n">
        <v>1</v>
      </c>
      <c r="B5" s="35" t="s">
        <v>976</v>
      </c>
      <c r="C5" s="17" t="s">
        <v>977</v>
      </c>
      <c r="D5" s="17" t="s">
        <v>978</v>
      </c>
      <c r="E5" s="28" t="s">
        <v>388</v>
      </c>
      <c r="F5" s="38" t="s">
        <v>979</v>
      </c>
      <c r="G5" s="28" t="s">
        <v>957</v>
      </c>
      <c r="H5" s="37" t="s">
        <v>980</v>
      </c>
      <c r="I5" s="31" t="s">
        <v>266</v>
      </c>
      <c r="J5" s="28" t="s">
        <v>49</v>
      </c>
      <c r="K5" s="39" t="s">
        <v>981</v>
      </c>
      <c r="L5" s="17" t="s">
        <v>982</v>
      </c>
    </row>
    <row r="6" customFormat="false" ht="84" hidden="false" customHeight="true" outlineLevel="0" collapsed="false">
      <c r="A6" s="37" t="n">
        <v>2</v>
      </c>
      <c r="B6" s="35" t="s">
        <v>983</v>
      </c>
      <c r="C6" s="17" t="s">
        <v>984</v>
      </c>
      <c r="D6" s="17" t="s">
        <v>985</v>
      </c>
      <c r="E6" s="28" t="s">
        <v>520</v>
      </c>
      <c r="F6" s="38" t="s">
        <v>979</v>
      </c>
      <c r="G6" s="28" t="s">
        <v>271</v>
      </c>
      <c r="H6" s="37" t="s">
        <v>986</v>
      </c>
      <c r="I6" s="31" t="s">
        <v>266</v>
      </c>
      <c r="J6" s="28" t="s">
        <v>49</v>
      </c>
      <c r="K6" s="39" t="s">
        <v>981</v>
      </c>
      <c r="L6" s="17" t="s">
        <v>987</v>
      </c>
    </row>
    <row r="7" customFormat="false" ht="84" hidden="false" customHeight="true" outlineLevel="0" collapsed="false">
      <c r="A7" s="37" t="n">
        <v>3</v>
      </c>
      <c r="B7" s="35" t="s">
        <v>988</v>
      </c>
      <c r="C7" s="17" t="s">
        <v>989</v>
      </c>
      <c r="D7" s="17" t="s">
        <v>990</v>
      </c>
      <c r="E7" s="28" t="s">
        <v>388</v>
      </c>
      <c r="F7" s="38" t="s">
        <v>979</v>
      </c>
      <c r="G7" s="28" t="s">
        <v>271</v>
      </c>
      <c r="H7" s="37" t="s">
        <v>991</v>
      </c>
      <c r="I7" s="31" t="s">
        <v>266</v>
      </c>
      <c r="J7" s="28" t="s">
        <v>49</v>
      </c>
      <c r="K7" s="39" t="s">
        <v>981</v>
      </c>
      <c r="L7" s="17" t="s">
        <v>992</v>
      </c>
    </row>
    <row r="8" customFormat="false" ht="84" hidden="false" customHeight="true" outlineLevel="0" collapsed="false">
      <c r="A8" s="37" t="n">
        <v>4</v>
      </c>
      <c r="B8" s="35" t="s">
        <v>993</v>
      </c>
      <c r="C8" s="17" t="s">
        <v>994</v>
      </c>
      <c r="D8" s="17" t="s">
        <v>995</v>
      </c>
      <c r="E8" s="28" t="s">
        <v>388</v>
      </c>
      <c r="F8" s="38" t="s">
        <v>979</v>
      </c>
      <c r="G8" s="28" t="s">
        <v>279</v>
      </c>
      <c r="H8" s="37" t="s">
        <v>996</v>
      </c>
      <c r="I8" s="31" t="s">
        <v>266</v>
      </c>
      <c r="J8" s="28" t="s">
        <v>49</v>
      </c>
      <c r="K8" s="39" t="s">
        <v>981</v>
      </c>
      <c r="L8" s="17" t="s">
        <v>997</v>
      </c>
    </row>
    <row r="9" customFormat="false" ht="84" hidden="false" customHeight="true" outlineLevel="0" collapsed="false">
      <c r="A9" s="37" t="n">
        <v>5</v>
      </c>
      <c r="B9" s="35" t="s">
        <v>998</v>
      </c>
      <c r="C9" s="17" t="s">
        <v>999</v>
      </c>
      <c r="D9" s="17" t="s">
        <v>1000</v>
      </c>
      <c r="E9" s="28" t="s">
        <v>388</v>
      </c>
      <c r="F9" s="38" t="s">
        <v>979</v>
      </c>
      <c r="G9" s="28" t="s">
        <v>271</v>
      </c>
      <c r="H9" s="37" t="s">
        <v>1001</v>
      </c>
      <c r="I9" s="31" t="s">
        <v>266</v>
      </c>
      <c r="J9" s="28" t="s">
        <v>49</v>
      </c>
      <c r="K9" s="39" t="s">
        <v>981</v>
      </c>
      <c r="L9" s="17" t="s">
        <v>1002</v>
      </c>
    </row>
    <row r="10" customFormat="false" ht="84" hidden="false" customHeight="true" outlineLevel="0" collapsed="false">
      <c r="A10" s="37" t="n">
        <v>6</v>
      </c>
      <c r="B10" s="35" t="s">
        <v>1003</v>
      </c>
      <c r="C10" s="17" t="s">
        <v>1004</v>
      </c>
      <c r="D10" s="17" t="s">
        <v>1005</v>
      </c>
      <c r="E10" s="28" t="s">
        <v>254</v>
      </c>
      <c r="F10" s="40" t="s">
        <v>1006</v>
      </c>
      <c r="G10" s="28" t="s">
        <v>271</v>
      </c>
      <c r="H10" s="37" t="s">
        <v>1001</v>
      </c>
      <c r="I10" s="31" t="s">
        <v>266</v>
      </c>
      <c r="J10" s="28" t="s">
        <v>49</v>
      </c>
      <c r="K10" s="41" t="s">
        <v>1007</v>
      </c>
      <c r="L10" s="17" t="s">
        <v>1008</v>
      </c>
    </row>
    <row r="11" customFormat="false" ht="84" hidden="false" customHeight="true" outlineLevel="0" collapsed="false">
      <c r="A11" s="37" t="n">
        <v>7</v>
      </c>
      <c r="B11" s="35" t="s">
        <v>1009</v>
      </c>
      <c r="C11" s="17" t="s">
        <v>1010</v>
      </c>
      <c r="D11" s="17" t="s">
        <v>1011</v>
      </c>
      <c r="E11" s="28" t="s">
        <v>254</v>
      </c>
      <c r="F11" s="40" t="s">
        <v>1006</v>
      </c>
      <c r="G11" s="28" t="s">
        <v>477</v>
      </c>
      <c r="H11" s="37" t="s">
        <v>991</v>
      </c>
      <c r="I11" s="31" t="s">
        <v>266</v>
      </c>
      <c r="J11" s="28" t="s">
        <v>49</v>
      </c>
      <c r="K11" s="41" t="s">
        <v>1007</v>
      </c>
      <c r="L11" s="17" t="s">
        <v>1012</v>
      </c>
    </row>
    <row r="12" customFormat="false" ht="84" hidden="false" customHeight="true" outlineLevel="0" collapsed="false">
      <c r="A12" s="37" t="n">
        <v>8</v>
      </c>
      <c r="B12" s="35" t="s">
        <v>1013</v>
      </c>
      <c r="C12" s="17" t="s">
        <v>1014</v>
      </c>
      <c r="D12" s="17" t="s">
        <v>1015</v>
      </c>
      <c r="E12" s="28" t="s">
        <v>264</v>
      </c>
      <c r="F12" s="42" t="s">
        <v>1016</v>
      </c>
      <c r="G12" s="28" t="s">
        <v>253</v>
      </c>
      <c r="H12" s="37" t="s">
        <v>1017</v>
      </c>
      <c r="I12" s="31" t="s">
        <v>266</v>
      </c>
      <c r="J12" s="28" t="s">
        <v>49</v>
      </c>
      <c r="K12" s="41" t="s">
        <v>1007</v>
      </c>
      <c r="L12" s="17" t="s">
        <v>1018</v>
      </c>
    </row>
    <row r="13" customFormat="false" ht="84" hidden="false" customHeight="true" outlineLevel="0" collapsed="false">
      <c r="A13" s="37" t="n">
        <v>9</v>
      </c>
      <c r="B13" s="35" t="s">
        <v>1019</v>
      </c>
      <c r="C13" s="17" t="s">
        <v>1020</v>
      </c>
      <c r="D13" s="17" t="s">
        <v>1021</v>
      </c>
      <c r="E13" s="28" t="s">
        <v>264</v>
      </c>
      <c r="F13" s="42" t="s">
        <v>1016</v>
      </c>
      <c r="G13" s="28" t="s">
        <v>451</v>
      </c>
      <c r="H13" s="37" t="s">
        <v>1001</v>
      </c>
      <c r="I13" s="31" t="s">
        <v>266</v>
      </c>
      <c r="J13" s="28" t="s">
        <v>49</v>
      </c>
      <c r="K13" s="41" t="s">
        <v>1007</v>
      </c>
      <c r="L13" s="17" t="s">
        <v>1022</v>
      </c>
    </row>
    <row r="14" customFormat="false" ht="84" hidden="false" customHeight="true" outlineLevel="0" collapsed="false">
      <c r="A14" s="37" t="n">
        <v>10</v>
      </c>
      <c r="B14" s="35" t="s">
        <v>1023</v>
      </c>
      <c r="C14" s="17" t="s">
        <v>1024</v>
      </c>
      <c r="D14" s="17" t="s">
        <v>1025</v>
      </c>
      <c r="E14" s="28" t="s">
        <v>254</v>
      </c>
      <c r="F14" s="43" t="s">
        <v>1026</v>
      </c>
      <c r="G14" s="28" t="s">
        <v>279</v>
      </c>
      <c r="H14" s="37" t="s">
        <v>1027</v>
      </c>
      <c r="I14" s="31" t="s">
        <v>266</v>
      </c>
      <c r="J14" s="28" t="s">
        <v>49</v>
      </c>
      <c r="K14" s="44" t="s">
        <v>1028</v>
      </c>
      <c r="L14" s="17" t="s">
        <v>1029</v>
      </c>
    </row>
    <row r="15" customFormat="false" ht="84" hidden="false" customHeight="true" outlineLevel="0" collapsed="false">
      <c r="A15" s="37" t="n">
        <v>11</v>
      </c>
      <c r="B15" s="35" t="s">
        <v>1030</v>
      </c>
      <c r="C15" s="17" t="s">
        <v>1031</v>
      </c>
      <c r="D15" s="17" t="s">
        <v>1032</v>
      </c>
      <c r="E15" s="28" t="s">
        <v>520</v>
      </c>
      <c r="F15" s="38" t="s">
        <v>979</v>
      </c>
      <c r="G15" s="28" t="s">
        <v>301</v>
      </c>
      <c r="H15" s="37" t="s">
        <v>996</v>
      </c>
      <c r="I15" s="31" t="s">
        <v>266</v>
      </c>
      <c r="J15" s="28" t="s">
        <v>49</v>
      </c>
      <c r="K15" s="44" t="s">
        <v>1028</v>
      </c>
      <c r="L15" s="17" t="s">
        <v>1033</v>
      </c>
    </row>
    <row r="16" customFormat="false" ht="84" hidden="false" customHeight="true" outlineLevel="0" collapsed="false">
      <c r="A16" s="37" t="n">
        <v>12</v>
      </c>
      <c r="B16" s="35" t="s">
        <v>1034</v>
      </c>
      <c r="C16" s="17" t="s">
        <v>1035</v>
      </c>
      <c r="D16" s="17" t="s">
        <v>1036</v>
      </c>
      <c r="E16" s="28" t="s">
        <v>331</v>
      </c>
      <c r="F16" s="43" t="s">
        <v>1026</v>
      </c>
      <c r="G16" s="28" t="s">
        <v>951</v>
      </c>
      <c r="H16" s="37" t="s">
        <v>1037</v>
      </c>
      <c r="I16" s="31" t="s">
        <v>266</v>
      </c>
      <c r="J16" s="28" t="s">
        <v>49</v>
      </c>
      <c r="K16" s="44" t="s">
        <v>1028</v>
      </c>
      <c r="L16" s="17" t="s">
        <v>1038</v>
      </c>
    </row>
  </sheetData>
  <autoFilter ref="A4:L16"/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2026-05-31T01:46:56Z</dcterms:created>
  <dc:creator>openpyxl</dc:creator>
  <dc:description/>
  <dc:language>en-US</dc:language>
  <cp:lastModifiedBy/>
  <dcterms:modified xsi:type="dcterms:W3CDTF">2026-06-02T04:31:58Z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